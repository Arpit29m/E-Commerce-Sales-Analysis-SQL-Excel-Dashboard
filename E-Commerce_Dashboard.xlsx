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rpit\OneDrive\Desktop\ARPIT\SQL &amp; Excel projects\E-Commerce Sales &amp; Customer Analysis\"/>
    </mc:Choice>
  </mc:AlternateContent>
  <xr:revisionPtr revIDLastSave="0" documentId="13_ncr:1_{DA191C7B-7536-4028-B10D-DEA66541A1E9}" xr6:coauthVersionLast="47" xr6:coauthVersionMax="47" xr10:uidLastSave="{00000000-0000-0000-0000-000000000000}"/>
  <bookViews>
    <workbookView xWindow="-108" yWindow="-108" windowWidth="23256" windowHeight="12456" xr2:uid="{B3025023-4572-42DA-B956-1241FCD3D5B3}"/>
  </bookViews>
  <sheets>
    <sheet name="Dashboard" sheetId="7" r:id="rId1"/>
    <sheet name="KPI'S" sheetId="3" r:id="rId2"/>
    <sheet name="Charts" sheetId="8" r:id="rId3"/>
    <sheet name="E-Commerce_data" sheetId="2" r:id="rId4"/>
  </sheets>
  <definedNames>
    <definedName name="ExternalData_1" localSheetId="3" hidden="1">'E-Commerce_data'!$A$1:$P$1001</definedName>
    <definedName name="NativeTimeline_order_date">#N/A</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E10" i="3"/>
  <c r="H6" i="3"/>
  <c r="G10" i="3"/>
  <c r="F10" i="3"/>
  <c r="H10"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5B2738-1A10-453B-869C-A40EC1FB8689}" keepAlive="1" name="Query - E-Commerce_data" description="Connection to the 'E-Commerce_data' query in the workbook." type="5" refreshedVersion="8" background="1" saveData="1">
    <dbPr connection="Provider=Microsoft.Mashup.OleDb.1;Data Source=$Workbook$;Location=E-Commerce_data;Extended Properties=&quot;&quot;" command="SELECT * FROM [E-Commerce_data]"/>
  </connection>
</connections>
</file>

<file path=xl/sharedStrings.xml><?xml version="1.0" encoding="utf-8"?>
<sst xmlns="http://schemas.openxmlformats.org/spreadsheetml/2006/main" count="8084" uniqueCount="1290">
  <si>
    <t>order_id</t>
  </si>
  <si>
    <t>order_date</t>
  </si>
  <si>
    <t>customer_id</t>
  </si>
  <si>
    <t>customer_name</t>
  </si>
  <si>
    <t>city</t>
  </si>
  <si>
    <t>region</t>
  </si>
  <si>
    <t>signup_date</t>
  </si>
  <si>
    <t>product_id</t>
  </si>
  <si>
    <t>product_name</t>
  </si>
  <si>
    <t>category</t>
  </si>
  <si>
    <t>unit_price</t>
  </si>
  <si>
    <t>quantity</t>
  </si>
  <si>
    <t>discount</t>
  </si>
  <si>
    <t>sales</t>
  </si>
  <si>
    <t>profit</t>
  </si>
  <si>
    <t>O0004</t>
  </si>
  <si>
    <t>C086</t>
  </si>
  <si>
    <t>Customer 86</t>
  </si>
  <si>
    <t>Kolkata</t>
  </si>
  <si>
    <t>East</t>
  </si>
  <si>
    <t>P001</t>
  </si>
  <si>
    <t>Laptop</t>
  </si>
  <si>
    <t>Electronics</t>
  </si>
  <si>
    <t>O0022</t>
  </si>
  <si>
    <t>C052</t>
  </si>
  <si>
    <t>Customer 52</t>
  </si>
  <si>
    <t>Hyderabad</t>
  </si>
  <si>
    <t>South</t>
  </si>
  <si>
    <t>O0057</t>
  </si>
  <si>
    <t>C063</t>
  </si>
  <si>
    <t>Customer 63</t>
  </si>
  <si>
    <t>Noida</t>
  </si>
  <si>
    <t>North</t>
  </si>
  <si>
    <t>O0075</t>
  </si>
  <si>
    <t>C084</t>
  </si>
  <si>
    <t>Customer 84</t>
  </si>
  <si>
    <t>Delhi</t>
  </si>
  <si>
    <t>O0094</t>
  </si>
  <si>
    <t>C003</t>
  </si>
  <si>
    <t>Customer 3</t>
  </si>
  <si>
    <t>O0119</t>
  </si>
  <si>
    <t>C059</t>
  </si>
  <si>
    <t>Customer 59</t>
  </si>
  <si>
    <t>Gurugram</t>
  </si>
  <si>
    <t>O0133</t>
  </si>
  <si>
    <t>C035</t>
  </si>
  <si>
    <t>Customer 35</t>
  </si>
  <si>
    <t>Pune</t>
  </si>
  <si>
    <t>West</t>
  </si>
  <si>
    <t>O0153</t>
  </si>
  <si>
    <t>C071</t>
  </si>
  <si>
    <t>Customer 71</t>
  </si>
  <si>
    <t>O0156</t>
  </si>
  <si>
    <t>C062</t>
  </si>
  <si>
    <t>Customer 62</t>
  </si>
  <si>
    <t>Bengaluru</t>
  </si>
  <si>
    <t>O0174</t>
  </si>
  <si>
    <t>C073</t>
  </si>
  <si>
    <t>Customer 73</t>
  </si>
  <si>
    <t>O0182</t>
  </si>
  <si>
    <t>C048</t>
  </si>
  <si>
    <t>Customer 48</t>
  </si>
  <si>
    <t>O0185</t>
  </si>
  <si>
    <t>C053</t>
  </si>
  <si>
    <t>Customer 53</t>
  </si>
  <si>
    <t>O0212</t>
  </si>
  <si>
    <t>C097</t>
  </si>
  <si>
    <t>Customer 97</t>
  </si>
  <si>
    <t>O0216</t>
  </si>
  <si>
    <t>O0225</t>
  </si>
  <si>
    <t>C008</t>
  </si>
  <si>
    <t>Customer 8</t>
  </si>
  <si>
    <t>Mumbai</t>
  </si>
  <si>
    <t>O0230</t>
  </si>
  <si>
    <t>C010</t>
  </si>
  <si>
    <t>Customer 10</t>
  </si>
  <si>
    <t>Jaipur</t>
  </si>
  <si>
    <t>O0237</t>
  </si>
  <si>
    <t>C055</t>
  </si>
  <si>
    <t>Customer 55</t>
  </si>
  <si>
    <t>O0249</t>
  </si>
  <si>
    <t>O0258</t>
  </si>
  <si>
    <t>C021</t>
  </si>
  <si>
    <t>Customer 21</t>
  </si>
  <si>
    <t>O0280</t>
  </si>
  <si>
    <t>C007</t>
  </si>
  <si>
    <t>Customer 7</t>
  </si>
  <si>
    <t>O0285</t>
  </si>
  <si>
    <t>C079</t>
  </si>
  <si>
    <t>Customer 79</t>
  </si>
  <si>
    <t>O0294</t>
  </si>
  <si>
    <t>C078</t>
  </si>
  <si>
    <t>Customer 78</t>
  </si>
  <si>
    <t>Chennai</t>
  </si>
  <si>
    <t>O0297</t>
  </si>
  <si>
    <t>O0298</t>
  </si>
  <si>
    <t>C040</t>
  </si>
  <si>
    <t>Customer 40</t>
  </si>
  <si>
    <t>O0299</t>
  </si>
  <si>
    <t>C066</t>
  </si>
  <si>
    <t>Customer 66</t>
  </si>
  <si>
    <t>O0303</t>
  </si>
  <si>
    <t>C094</t>
  </si>
  <si>
    <t>Customer 94</t>
  </si>
  <si>
    <t>O0324</t>
  </si>
  <si>
    <t>O0357</t>
  </si>
  <si>
    <t>C099</t>
  </si>
  <si>
    <t>Customer 99</t>
  </si>
  <si>
    <t>O0363</t>
  </si>
  <si>
    <t>C020</t>
  </si>
  <si>
    <t>Customer 20</t>
  </si>
  <si>
    <t>O0385</t>
  </si>
  <si>
    <t>C091</t>
  </si>
  <si>
    <t>Customer 91</t>
  </si>
  <si>
    <t>O0398</t>
  </si>
  <si>
    <t>C054</t>
  </si>
  <si>
    <t>Customer 54</t>
  </si>
  <si>
    <t>O0403</t>
  </si>
  <si>
    <t>C017</t>
  </si>
  <si>
    <t>Customer 17</t>
  </si>
  <si>
    <t>O0416</t>
  </si>
  <si>
    <t>C047</t>
  </si>
  <si>
    <t>Customer 47</t>
  </si>
  <si>
    <t>O0421</t>
  </si>
  <si>
    <t>O0440</t>
  </si>
  <si>
    <t>C001</t>
  </si>
  <si>
    <t>Customer 1</t>
  </si>
  <si>
    <t>O0441</t>
  </si>
  <si>
    <t>O0459</t>
  </si>
  <si>
    <t>C019</t>
  </si>
  <si>
    <t>Customer 19</t>
  </si>
  <si>
    <t>O0460</t>
  </si>
  <si>
    <t>C006</t>
  </si>
  <si>
    <t>Customer 6</t>
  </si>
  <si>
    <t>O0492</t>
  </si>
  <si>
    <t>C065</t>
  </si>
  <si>
    <t>Customer 65</t>
  </si>
  <si>
    <t>O0509</t>
  </si>
  <si>
    <t>O0541</t>
  </si>
  <si>
    <t>C044</t>
  </si>
  <si>
    <t>Customer 44</t>
  </si>
  <si>
    <t>O0560</t>
  </si>
  <si>
    <t>C075</t>
  </si>
  <si>
    <t>Customer 75</t>
  </si>
  <si>
    <t>O0579</t>
  </si>
  <si>
    <t>O0614</t>
  </si>
  <si>
    <t>O0630</t>
  </si>
  <si>
    <t>C015</t>
  </si>
  <si>
    <t>Customer 15</t>
  </si>
  <si>
    <t>O0646</t>
  </si>
  <si>
    <t>C081</t>
  </si>
  <si>
    <t>Customer 81</t>
  </si>
  <si>
    <t>O0651</t>
  </si>
  <si>
    <t>C051</t>
  </si>
  <si>
    <t>Customer 51</t>
  </si>
  <si>
    <t>O0682</t>
  </si>
  <si>
    <t>C033</t>
  </si>
  <si>
    <t>Customer 33</t>
  </si>
  <si>
    <t>O0688</t>
  </si>
  <si>
    <t>C014</t>
  </si>
  <si>
    <t>Customer 14</t>
  </si>
  <si>
    <t>O0697</t>
  </si>
  <si>
    <t>C070</t>
  </si>
  <si>
    <t>Customer 70</t>
  </si>
  <si>
    <t>O0724</t>
  </si>
  <si>
    <t>C060</t>
  </si>
  <si>
    <t>Customer 60</t>
  </si>
  <si>
    <t>O0728</t>
  </si>
  <si>
    <t>C100</t>
  </si>
  <si>
    <t>Customer 100</t>
  </si>
  <si>
    <t>O0764</t>
  </si>
  <si>
    <t>C034</t>
  </si>
  <si>
    <t>Customer 34</t>
  </si>
  <si>
    <t>O0775</t>
  </si>
  <si>
    <t>O0782</t>
  </si>
  <si>
    <t>C077</t>
  </si>
  <si>
    <t>Customer 77</t>
  </si>
  <si>
    <t>O0795</t>
  </si>
  <si>
    <t>O0815</t>
  </si>
  <si>
    <t>C046</t>
  </si>
  <si>
    <t>Customer 46</t>
  </si>
  <si>
    <t>O0822</t>
  </si>
  <si>
    <t>O0823</t>
  </si>
  <si>
    <t>C057</t>
  </si>
  <si>
    <t>Customer 57</t>
  </si>
  <si>
    <t>O0838</t>
  </si>
  <si>
    <t>C067</t>
  </si>
  <si>
    <t>Customer 67</t>
  </si>
  <si>
    <t>O0846</t>
  </si>
  <si>
    <t>C037</t>
  </si>
  <si>
    <t>Customer 37</t>
  </si>
  <si>
    <t>O0884</t>
  </si>
  <si>
    <t>C058</t>
  </si>
  <si>
    <t>Customer 58</t>
  </si>
  <si>
    <t>O0891</t>
  </si>
  <si>
    <t>C031</t>
  </si>
  <si>
    <t>Customer 31</t>
  </si>
  <si>
    <t>O0895</t>
  </si>
  <si>
    <t>O0898</t>
  </si>
  <si>
    <t>C074</t>
  </si>
  <si>
    <t>Customer 74</t>
  </si>
  <si>
    <t>O0924</t>
  </si>
  <si>
    <t>O0931</t>
  </si>
  <si>
    <t>C027</t>
  </si>
  <si>
    <t>Customer 27</t>
  </si>
  <si>
    <t>O0934</t>
  </si>
  <si>
    <t>C069</t>
  </si>
  <si>
    <t>Customer 69</t>
  </si>
  <si>
    <t>O0936</t>
  </si>
  <si>
    <t>C087</t>
  </si>
  <si>
    <t>Customer 87</t>
  </si>
  <si>
    <t>O0994</t>
  </si>
  <si>
    <t>C036</t>
  </si>
  <si>
    <t>Customer 36</t>
  </si>
  <si>
    <t>O0002</t>
  </si>
  <si>
    <t>P002</t>
  </si>
  <si>
    <t>Headphones</t>
  </si>
  <si>
    <t>O0003</t>
  </si>
  <si>
    <t>C085</t>
  </si>
  <si>
    <t>Customer 85</t>
  </si>
  <si>
    <t>O0020</t>
  </si>
  <si>
    <t>O0048</t>
  </si>
  <si>
    <t>C088</t>
  </si>
  <si>
    <t>Customer 88</t>
  </si>
  <si>
    <t>O0059</t>
  </si>
  <si>
    <t>C056</t>
  </si>
  <si>
    <t>Customer 56</t>
  </si>
  <si>
    <t>O0067</t>
  </si>
  <si>
    <t>O0069</t>
  </si>
  <si>
    <t>O0077</t>
  </si>
  <si>
    <t>C038</t>
  </si>
  <si>
    <t>Customer 38</t>
  </si>
  <si>
    <t>O0082</t>
  </si>
  <si>
    <t>C064</t>
  </si>
  <si>
    <t>Customer 64</t>
  </si>
  <si>
    <t>O0092</t>
  </si>
  <si>
    <t>O0097</t>
  </si>
  <si>
    <t>C043</t>
  </si>
  <si>
    <t>Customer 43</t>
  </si>
  <si>
    <t>O0120</t>
  </si>
  <si>
    <t>O0135</t>
  </si>
  <si>
    <t>O0152</t>
  </si>
  <si>
    <t>O0168</t>
  </si>
  <si>
    <t>C030</t>
  </si>
  <si>
    <t>Customer 30</t>
  </si>
  <si>
    <t>O0169</t>
  </si>
  <si>
    <t>O0184</t>
  </si>
  <si>
    <t>O0186</t>
  </si>
  <si>
    <t>C004</t>
  </si>
  <si>
    <t>Customer 4</t>
  </si>
  <si>
    <t>O0187</t>
  </si>
  <si>
    <t>O0189</t>
  </si>
  <si>
    <t>C029</t>
  </si>
  <si>
    <t>Customer 29</t>
  </si>
  <si>
    <t>O0218</t>
  </si>
  <si>
    <t>C072</t>
  </si>
  <si>
    <t>Customer 72</t>
  </si>
  <si>
    <t>O0250</t>
  </si>
  <si>
    <t>O0279</t>
  </si>
  <si>
    <t>C009</t>
  </si>
  <si>
    <t>Customer 9</t>
  </si>
  <si>
    <t>O0308</t>
  </si>
  <si>
    <t>O0318</t>
  </si>
  <si>
    <t>C023</t>
  </si>
  <si>
    <t>Customer 23</t>
  </si>
  <si>
    <t>O0334</t>
  </si>
  <si>
    <t>C032</t>
  </si>
  <si>
    <t>Customer 32</t>
  </si>
  <si>
    <t>O0352</t>
  </si>
  <si>
    <t>C018</t>
  </si>
  <si>
    <t>Customer 18</t>
  </si>
  <si>
    <t>O0386</t>
  </si>
  <si>
    <t>O0390</t>
  </si>
  <si>
    <t>O0426</t>
  </si>
  <si>
    <t>O0438</t>
  </si>
  <si>
    <t>O0444</t>
  </si>
  <si>
    <t>O0467</t>
  </si>
  <si>
    <t>C089</t>
  </si>
  <si>
    <t>Customer 89</t>
  </si>
  <si>
    <t>O0489</t>
  </si>
  <si>
    <t>O0496</t>
  </si>
  <si>
    <t>O0510</t>
  </si>
  <si>
    <t>O0572</t>
  </si>
  <si>
    <t>O0581</t>
  </si>
  <si>
    <t>C083</t>
  </si>
  <si>
    <t>Customer 83</t>
  </si>
  <si>
    <t>O0595</t>
  </si>
  <si>
    <t>C045</t>
  </si>
  <si>
    <t>Customer 45</t>
  </si>
  <si>
    <t>O0597</t>
  </si>
  <si>
    <t>O0608</t>
  </si>
  <si>
    <t>O0622</t>
  </si>
  <si>
    <t>O0623</t>
  </si>
  <si>
    <t>O0624</t>
  </si>
  <si>
    <t>O0643</t>
  </si>
  <si>
    <t>O0647</t>
  </si>
  <si>
    <t>O0655</t>
  </si>
  <si>
    <t>C080</t>
  </si>
  <si>
    <t>Customer 80</t>
  </si>
  <si>
    <t>O0656</t>
  </si>
  <si>
    <t>O0659</t>
  </si>
  <si>
    <t>O0670</t>
  </si>
  <si>
    <t>O0671</t>
  </si>
  <si>
    <t>O0673</t>
  </si>
  <si>
    <t>O0691</t>
  </si>
  <si>
    <t>O0732</t>
  </si>
  <si>
    <t>O0736</t>
  </si>
  <si>
    <t>O0796</t>
  </si>
  <si>
    <t>O0821</t>
  </si>
  <si>
    <t>O0840</t>
  </si>
  <si>
    <t>O0859</t>
  </si>
  <si>
    <t>O0870</t>
  </si>
  <si>
    <t>O0904</t>
  </si>
  <si>
    <t>O0910</t>
  </si>
  <si>
    <t>O0017</t>
  </si>
  <si>
    <t>P003</t>
  </si>
  <si>
    <t>Mouse</t>
  </si>
  <si>
    <t>O0042</t>
  </si>
  <si>
    <t>C024</t>
  </si>
  <si>
    <t>Customer 24</t>
  </si>
  <si>
    <t>O0076</t>
  </si>
  <si>
    <t>O0100</t>
  </si>
  <si>
    <t>O0105</t>
  </si>
  <si>
    <t>O0107</t>
  </si>
  <si>
    <t>C039</t>
  </si>
  <si>
    <t>Customer 39</t>
  </si>
  <si>
    <t>O0111</t>
  </si>
  <si>
    <t>O0132</t>
  </si>
  <si>
    <t>O0158</t>
  </si>
  <si>
    <t>C016</t>
  </si>
  <si>
    <t>Customer 16</t>
  </si>
  <si>
    <t>O0172</t>
  </si>
  <si>
    <t>O0190</t>
  </si>
  <si>
    <t>O0207</t>
  </si>
  <si>
    <t>O0210</t>
  </si>
  <si>
    <t>C041</t>
  </si>
  <si>
    <t>Customer 41</t>
  </si>
  <si>
    <t>O0241</t>
  </si>
  <si>
    <t>C005</t>
  </si>
  <si>
    <t>Customer 5</t>
  </si>
  <si>
    <t>O0246</t>
  </si>
  <si>
    <t>C096</t>
  </si>
  <si>
    <t>Customer 96</t>
  </si>
  <si>
    <t>O0256</t>
  </si>
  <si>
    <t>C012</t>
  </si>
  <si>
    <t>Customer 12</t>
  </si>
  <si>
    <t>O0295</t>
  </si>
  <si>
    <t>O0296</t>
  </si>
  <si>
    <t>C050</t>
  </si>
  <si>
    <t>Customer 50</t>
  </si>
  <si>
    <t>O0300</t>
  </si>
  <si>
    <t>O0327</t>
  </si>
  <si>
    <t>O0329</t>
  </si>
  <si>
    <t>O0331</t>
  </si>
  <si>
    <t>C042</t>
  </si>
  <si>
    <t>Customer 42</t>
  </si>
  <si>
    <t>O0337</t>
  </si>
  <si>
    <t>O0341</t>
  </si>
  <si>
    <t>O0361</t>
  </si>
  <si>
    <t>O0366</t>
  </si>
  <si>
    <t>O0367</t>
  </si>
  <si>
    <t>C026</t>
  </si>
  <si>
    <t>Customer 26</t>
  </si>
  <si>
    <t>O0377</t>
  </si>
  <si>
    <t>O0380</t>
  </si>
  <si>
    <t>O0394</t>
  </si>
  <si>
    <t>C049</t>
  </si>
  <si>
    <t>Customer 49</t>
  </si>
  <si>
    <t>O0407</t>
  </si>
  <si>
    <t>O0422</t>
  </si>
  <si>
    <t>O0430</t>
  </si>
  <si>
    <t>C025</t>
  </si>
  <si>
    <t>Customer 25</t>
  </si>
  <si>
    <t>O0453</t>
  </si>
  <si>
    <t>O0475</t>
  </si>
  <si>
    <t>O0483</t>
  </si>
  <si>
    <t>O0505</t>
  </si>
  <si>
    <t>O0521</t>
  </si>
  <si>
    <t>O0527</t>
  </si>
  <si>
    <t>O0562</t>
  </si>
  <si>
    <t>O0565</t>
  </si>
  <si>
    <t>O0586</t>
  </si>
  <si>
    <t>O0589</t>
  </si>
  <si>
    <t>O0632</t>
  </si>
  <si>
    <t>C090</t>
  </si>
  <si>
    <t>Customer 90</t>
  </si>
  <si>
    <t>O0645</t>
  </si>
  <si>
    <t>C098</t>
  </si>
  <si>
    <t>Customer 98</t>
  </si>
  <si>
    <t>O0648</t>
  </si>
  <si>
    <t>O0658</t>
  </si>
  <si>
    <t>O0660</t>
  </si>
  <si>
    <t>C022</t>
  </si>
  <si>
    <t>Customer 22</t>
  </si>
  <si>
    <t>O0664</t>
  </si>
  <si>
    <t>O0665</t>
  </si>
  <si>
    <t>O0687</t>
  </si>
  <si>
    <t>O0706</t>
  </si>
  <si>
    <t>O0712</t>
  </si>
  <si>
    <t>O0754</t>
  </si>
  <si>
    <t>O0774</t>
  </si>
  <si>
    <t>O0790</t>
  </si>
  <si>
    <t>O0805</t>
  </si>
  <si>
    <t>O0807</t>
  </si>
  <si>
    <t>O0811</t>
  </si>
  <si>
    <t>O0826</t>
  </si>
  <si>
    <t>O0860</t>
  </si>
  <si>
    <t>O0874</t>
  </si>
  <si>
    <t>O0879</t>
  </si>
  <si>
    <t>O0882</t>
  </si>
  <si>
    <t>O0885</t>
  </si>
  <si>
    <t>O0902</t>
  </si>
  <si>
    <t>O0914</t>
  </si>
  <si>
    <t>O0927</t>
  </si>
  <si>
    <t>O0947</t>
  </si>
  <si>
    <t>C002</t>
  </si>
  <si>
    <t>Customer 2</t>
  </si>
  <si>
    <t>O0974</t>
  </si>
  <si>
    <t>O0980</t>
  </si>
  <si>
    <t>O0014</t>
  </si>
  <si>
    <t>P004</t>
  </si>
  <si>
    <t>Keyboard</t>
  </si>
  <si>
    <t>O0040</t>
  </si>
  <si>
    <t>O0041</t>
  </si>
  <si>
    <t>C092</t>
  </si>
  <si>
    <t>Customer 92</t>
  </si>
  <si>
    <t>O0050</t>
  </si>
  <si>
    <t>O0091</t>
  </si>
  <si>
    <t>O0108</t>
  </si>
  <si>
    <t>O0139</t>
  </si>
  <si>
    <t>O0160</t>
  </si>
  <si>
    <t>O0171</t>
  </si>
  <si>
    <t>O0217</t>
  </si>
  <si>
    <t>O0221</t>
  </si>
  <si>
    <t>O0222</t>
  </si>
  <si>
    <t>O0287</t>
  </si>
  <si>
    <t>O0291</t>
  </si>
  <si>
    <t>O0317</t>
  </si>
  <si>
    <t>O0342</t>
  </si>
  <si>
    <t>O0355</t>
  </si>
  <si>
    <t>O0364</t>
  </si>
  <si>
    <t>O0372</t>
  </si>
  <si>
    <t>O0401</t>
  </si>
  <si>
    <t>O0409</t>
  </si>
  <si>
    <t>C028</t>
  </si>
  <si>
    <t>Customer 28</t>
  </si>
  <si>
    <t>O0470</t>
  </si>
  <si>
    <t>O0499</t>
  </si>
  <si>
    <t>O0500</t>
  </si>
  <si>
    <t>C076</t>
  </si>
  <si>
    <t>Customer 76</t>
  </si>
  <si>
    <t>O0520</t>
  </si>
  <si>
    <t>O0539</t>
  </si>
  <si>
    <t>C095</t>
  </si>
  <si>
    <t>Customer 95</t>
  </si>
  <si>
    <t>O0559</t>
  </si>
  <si>
    <t>O0561</t>
  </si>
  <si>
    <t>O0568</t>
  </si>
  <si>
    <t>O0582</t>
  </si>
  <si>
    <t>O0636</t>
  </si>
  <si>
    <t>O0678</t>
  </si>
  <si>
    <t>O0686</t>
  </si>
  <si>
    <t>O0690</t>
  </si>
  <si>
    <t>O0703</t>
  </si>
  <si>
    <t>O0716</t>
  </si>
  <si>
    <t>O0723</t>
  </si>
  <si>
    <t>O0735</t>
  </si>
  <si>
    <t>O0755</t>
  </si>
  <si>
    <t>O0762</t>
  </si>
  <si>
    <t>O0791</t>
  </si>
  <si>
    <t>O0794</t>
  </si>
  <si>
    <t>O0799</t>
  </si>
  <si>
    <t>O0800</t>
  </si>
  <si>
    <t>O0810</t>
  </si>
  <si>
    <t>O0816</t>
  </si>
  <si>
    <t>O0817</t>
  </si>
  <si>
    <t>O0833</t>
  </si>
  <si>
    <t>O0837</t>
  </si>
  <si>
    <t>O0844</t>
  </si>
  <si>
    <t>O0845</t>
  </si>
  <si>
    <t>O0867</t>
  </si>
  <si>
    <t>O0868</t>
  </si>
  <si>
    <t>O0871</t>
  </si>
  <si>
    <t>O0926</t>
  </si>
  <si>
    <t>O0942</t>
  </si>
  <si>
    <t>O0981</t>
  </si>
  <si>
    <t>O0982</t>
  </si>
  <si>
    <t>O0983</t>
  </si>
  <si>
    <t>O0032</t>
  </si>
  <si>
    <t>P005</t>
  </si>
  <si>
    <t>Monitor</t>
  </si>
  <si>
    <t>O0036</t>
  </si>
  <si>
    <t>O0039</t>
  </si>
  <si>
    <t>O0051</t>
  </si>
  <si>
    <t>O0054</t>
  </si>
  <si>
    <t>C068</t>
  </si>
  <si>
    <t>Customer 68</t>
  </si>
  <si>
    <t>O0064</t>
  </si>
  <si>
    <t>O0066</t>
  </si>
  <si>
    <t>O0080</t>
  </si>
  <si>
    <t>O0089</t>
  </si>
  <si>
    <t>O0112</t>
  </si>
  <si>
    <t>O0123</t>
  </si>
  <si>
    <t>O0146</t>
  </si>
  <si>
    <t>O0162</t>
  </si>
  <si>
    <t>O0188</t>
  </si>
  <si>
    <t>O0191</t>
  </si>
  <si>
    <t>O0194</t>
  </si>
  <si>
    <t>O0229</t>
  </si>
  <si>
    <t>O0271</t>
  </si>
  <si>
    <t>O0278</t>
  </si>
  <si>
    <t>O0292</t>
  </si>
  <si>
    <t>O0293</t>
  </si>
  <si>
    <t>O0323</t>
  </si>
  <si>
    <t>C013</t>
  </si>
  <si>
    <t>Customer 13</t>
  </si>
  <si>
    <t>O0347</t>
  </si>
  <si>
    <t>O0348</t>
  </si>
  <si>
    <t>O0387</t>
  </si>
  <si>
    <t>C093</t>
  </si>
  <si>
    <t>Customer 93</t>
  </si>
  <si>
    <t>O0392</t>
  </si>
  <si>
    <t>O0395</t>
  </si>
  <si>
    <t>O0399</t>
  </si>
  <si>
    <t>O0402</t>
  </si>
  <si>
    <t>O0412</t>
  </si>
  <si>
    <t>O0468</t>
  </si>
  <si>
    <t>O0471</t>
  </si>
  <si>
    <t>O0473</t>
  </si>
  <si>
    <t>O0476</t>
  </si>
  <si>
    <t>O0497</t>
  </si>
  <si>
    <t>O0515</t>
  </si>
  <si>
    <t>O0523</t>
  </si>
  <si>
    <t>O0536</t>
  </si>
  <si>
    <t>O0540</t>
  </si>
  <si>
    <t>O0547</t>
  </si>
  <si>
    <t>O0567</t>
  </si>
  <si>
    <t>O0603</t>
  </si>
  <si>
    <t>O0650</t>
  </si>
  <si>
    <t>O0675</t>
  </si>
  <si>
    <t>O0714</t>
  </si>
  <si>
    <t>O0744</t>
  </si>
  <si>
    <t>O0760</t>
  </si>
  <si>
    <t>O0768</t>
  </si>
  <si>
    <t>O0803</t>
  </si>
  <si>
    <t>O0861</t>
  </si>
  <si>
    <t>O0876</t>
  </si>
  <si>
    <t>O0877</t>
  </si>
  <si>
    <t>O0894</t>
  </si>
  <si>
    <t>O0897</t>
  </si>
  <si>
    <t>O0901</t>
  </si>
  <si>
    <t>O0918</t>
  </si>
  <si>
    <t>O0935</t>
  </si>
  <si>
    <t>O0951</t>
  </si>
  <si>
    <t>O0953</t>
  </si>
  <si>
    <t>O0959</t>
  </si>
  <si>
    <t>O0969</t>
  </si>
  <si>
    <t>O0007</t>
  </si>
  <si>
    <t>P006</t>
  </si>
  <si>
    <t>Chair</t>
  </si>
  <si>
    <t>Furniture</t>
  </si>
  <si>
    <t>O0030</t>
  </si>
  <si>
    <t>O0031</t>
  </si>
  <si>
    <t>O0044</t>
  </si>
  <si>
    <t>C061</t>
  </si>
  <si>
    <t>Customer 61</t>
  </si>
  <si>
    <t>O0061</t>
  </si>
  <si>
    <t>O0121</t>
  </si>
  <si>
    <t>O0155</t>
  </si>
  <si>
    <t>O0157</t>
  </si>
  <si>
    <t>O0176</t>
  </si>
  <si>
    <t>O0183</t>
  </si>
  <si>
    <t>O0204</t>
  </si>
  <si>
    <t>C082</t>
  </si>
  <si>
    <t>Customer 82</t>
  </si>
  <si>
    <t>O0211</t>
  </si>
  <si>
    <t>O0215</t>
  </si>
  <si>
    <t>O0234</t>
  </si>
  <si>
    <t>O0253</t>
  </si>
  <si>
    <t>O0269</t>
  </si>
  <si>
    <t>O0274</t>
  </si>
  <si>
    <t>O0283</t>
  </si>
  <si>
    <t>O0314</t>
  </si>
  <si>
    <t>O0325</t>
  </si>
  <si>
    <t>O0326</t>
  </si>
  <si>
    <t>O0328</t>
  </si>
  <si>
    <t>O0379</t>
  </si>
  <si>
    <t>O0391</t>
  </si>
  <si>
    <t>O0411</t>
  </si>
  <si>
    <t>O0415</t>
  </si>
  <si>
    <t>O0427</t>
  </si>
  <si>
    <t>O0442</t>
  </si>
  <si>
    <t>O0448</t>
  </si>
  <si>
    <t>O0472</t>
  </si>
  <si>
    <t>O0479</t>
  </si>
  <si>
    <t>O0485</t>
  </si>
  <si>
    <t>O0493</t>
  </si>
  <si>
    <t>O0519</t>
  </si>
  <si>
    <t>O0525</t>
  </si>
  <si>
    <t>O0535</t>
  </si>
  <si>
    <t>O0538</t>
  </si>
  <si>
    <t>O0544</t>
  </si>
  <si>
    <t>O0548</t>
  </si>
  <si>
    <t>O0550</t>
  </si>
  <si>
    <t>O0574</t>
  </si>
  <si>
    <t>O0594</t>
  </si>
  <si>
    <t>O0609</t>
  </si>
  <si>
    <t>O0610</t>
  </si>
  <si>
    <t>O0661</t>
  </si>
  <si>
    <t>O0693</t>
  </si>
  <si>
    <t>O0704</t>
  </si>
  <si>
    <t>O0713</t>
  </si>
  <si>
    <t>O0725</t>
  </si>
  <si>
    <t>O0733</t>
  </si>
  <si>
    <t>O0743</t>
  </si>
  <si>
    <t>O0766</t>
  </si>
  <si>
    <t>O0783</t>
  </si>
  <si>
    <t>O0784</t>
  </si>
  <si>
    <t>O0788</t>
  </si>
  <si>
    <t>O0813</t>
  </si>
  <si>
    <t>O0819</t>
  </si>
  <si>
    <t>O0820</t>
  </si>
  <si>
    <t>O0839</t>
  </si>
  <si>
    <t>O0862</t>
  </si>
  <si>
    <t>O0873</t>
  </si>
  <si>
    <t>O0893</t>
  </si>
  <si>
    <t>O0915</t>
  </si>
  <si>
    <t>O0916</t>
  </si>
  <si>
    <t>O0917</t>
  </si>
  <si>
    <t>O0946</t>
  </si>
  <si>
    <t>O0972</t>
  </si>
  <si>
    <t>O0992</t>
  </si>
  <si>
    <t>O0006</t>
  </si>
  <si>
    <t>P007</t>
  </si>
  <si>
    <t>Desk</t>
  </si>
  <si>
    <t>O0011</t>
  </si>
  <si>
    <t>O0012</t>
  </si>
  <si>
    <t>O0024</t>
  </si>
  <si>
    <t>O0028</t>
  </si>
  <si>
    <t>O0053</t>
  </si>
  <si>
    <t>O0117</t>
  </si>
  <si>
    <t>O0143</t>
  </si>
  <si>
    <t>O0159</t>
  </si>
  <si>
    <t>C011</t>
  </si>
  <si>
    <t>Customer 11</t>
  </si>
  <si>
    <t>O0163</t>
  </si>
  <si>
    <t>O0195</t>
  </si>
  <si>
    <t>O0206</t>
  </si>
  <si>
    <t>O0226</t>
  </si>
  <si>
    <t>O0227</t>
  </si>
  <si>
    <t>O0236</t>
  </si>
  <si>
    <t>O0268</t>
  </si>
  <si>
    <t>O0284</t>
  </si>
  <si>
    <t>O0306</t>
  </si>
  <si>
    <t>O0310</t>
  </si>
  <si>
    <t>O0344</t>
  </si>
  <si>
    <t>O0345</t>
  </si>
  <si>
    <t>O0354</t>
  </si>
  <si>
    <t>O0360</t>
  </si>
  <si>
    <t>O0383</t>
  </si>
  <si>
    <t>O0388</t>
  </si>
  <si>
    <t>O0404</t>
  </si>
  <si>
    <t>O0428</t>
  </si>
  <si>
    <t>O0439</t>
  </si>
  <si>
    <t>O0443</t>
  </si>
  <si>
    <t>O0486</t>
  </si>
  <si>
    <t>O0494</t>
  </si>
  <si>
    <t>O0516</t>
  </si>
  <si>
    <t>O0517</t>
  </si>
  <si>
    <t>O0543</t>
  </si>
  <si>
    <t>O0552</t>
  </si>
  <si>
    <t>O0564</t>
  </si>
  <si>
    <t>O0573</t>
  </si>
  <si>
    <t>O0577</t>
  </si>
  <si>
    <t>O0591</t>
  </si>
  <si>
    <t>O0615</t>
  </si>
  <si>
    <t>O0616</t>
  </si>
  <si>
    <t>O0619</t>
  </si>
  <si>
    <t>O0620</t>
  </si>
  <si>
    <t>O0652</t>
  </si>
  <si>
    <t>O0657</t>
  </si>
  <si>
    <t>O0694</t>
  </si>
  <si>
    <t>O0696</t>
  </si>
  <si>
    <t>O0711</t>
  </si>
  <si>
    <t>O0715</t>
  </si>
  <si>
    <t>O0731</t>
  </si>
  <si>
    <t>O0749</t>
  </si>
  <si>
    <t>O0751</t>
  </si>
  <si>
    <t>O0757</t>
  </si>
  <si>
    <t>O0759</t>
  </si>
  <si>
    <t>O0772</t>
  </si>
  <si>
    <t>O0781</t>
  </si>
  <si>
    <t>O0785</t>
  </si>
  <si>
    <t>O0809</t>
  </si>
  <si>
    <t>O0850</t>
  </si>
  <si>
    <t>O0851</t>
  </si>
  <si>
    <t>O0880</t>
  </si>
  <si>
    <t>O0892</t>
  </si>
  <si>
    <t>O0922</t>
  </si>
  <si>
    <t>O0923</t>
  </si>
  <si>
    <t>O0957</t>
  </si>
  <si>
    <t>O0967</t>
  </si>
  <si>
    <t>O0973</t>
  </si>
  <si>
    <t>O0996</t>
  </si>
  <si>
    <t>O0999</t>
  </si>
  <si>
    <t>O0015</t>
  </si>
  <si>
    <t>P008</t>
  </si>
  <si>
    <t>Bookshelf</t>
  </si>
  <si>
    <t>O0023</t>
  </si>
  <si>
    <t>O0062</t>
  </si>
  <si>
    <t>O0085</t>
  </si>
  <si>
    <t>O0088</t>
  </si>
  <si>
    <t>O0095</t>
  </si>
  <si>
    <t>O0110</t>
  </si>
  <si>
    <t>O0124</t>
  </si>
  <si>
    <t>O0130</t>
  </si>
  <si>
    <t>O0144</t>
  </si>
  <si>
    <t>O0164</t>
  </si>
  <si>
    <t>O0198</t>
  </si>
  <si>
    <t>O0203</t>
  </si>
  <si>
    <t>O0209</t>
  </si>
  <si>
    <t>O0244</t>
  </si>
  <si>
    <t>O0266</t>
  </si>
  <si>
    <t>O0305</t>
  </si>
  <si>
    <t>O0351</t>
  </si>
  <si>
    <t>O0423</t>
  </si>
  <si>
    <t>O0424</t>
  </si>
  <si>
    <t>O0434</t>
  </si>
  <si>
    <t>O0456</t>
  </si>
  <si>
    <t>O0487</t>
  </si>
  <si>
    <t>O0490</t>
  </si>
  <si>
    <t>O0495</t>
  </si>
  <si>
    <t>O0503</t>
  </si>
  <si>
    <t>O0530</t>
  </si>
  <si>
    <t>O0557</t>
  </si>
  <si>
    <t>O0571</t>
  </si>
  <si>
    <t>O0617</t>
  </si>
  <si>
    <t>O0635</t>
  </si>
  <si>
    <t>O0662</t>
  </si>
  <si>
    <t>O0672</t>
  </si>
  <si>
    <t>O0718</t>
  </si>
  <si>
    <t>O0726</t>
  </si>
  <si>
    <t>O0765</t>
  </si>
  <si>
    <t>O0777</t>
  </si>
  <si>
    <t>O0798</t>
  </si>
  <si>
    <t>O0808</t>
  </si>
  <si>
    <t>O0812</t>
  </si>
  <si>
    <t>O0818</t>
  </si>
  <si>
    <t>O0829</t>
  </si>
  <si>
    <t>O0903</t>
  </si>
  <si>
    <t>O0909</t>
  </si>
  <si>
    <t>O0919</t>
  </si>
  <si>
    <t>O0921</t>
  </si>
  <si>
    <t>O0928</t>
  </si>
  <si>
    <t>O0932</t>
  </si>
  <si>
    <t>O0933</t>
  </si>
  <si>
    <t>O0939</t>
  </si>
  <si>
    <t>O0943</t>
  </si>
  <si>
    <t>O0963</t>
  </si>
  <si>
    <t>O0976</t>
  </si>
  <si>
    <t>O0990</t>
  </si>
  <si>
    <t>O0991</t>
  </si>
  <si>
    <t>O0029</t>
  </si>
  <si>
    <t>P009</t>
  </si>
  <si>
    <t>Sofa</t>
  </si>
  <si>
    <t>O0043</t>
  </si>
  <si>
    <t>O0068</t>
  </si>
  <si>
    <t>O0074</t>
  </si>
  <si>
    <t>O0101</t>
  </si>
  <si>
    <t>O0106</t>
  </si>
  <si>
    <t>O0129</t>
  </si>
  <si>
    <t>O0141</t>
  </si>
  <si>
    <t>O0147</t>
  </si>
  <si>
    <t>O0149</t>
  </si>
  <si>
    <t>O0170</t>
  </si>
  <si>
    <t>O0201</t>
  </si>
  <si>
    <t>O0213</t>
  </si>
  <si>
    <t>O0224</t>
  </si>
  <si>
    <t>O0239</t>
  </si>
  <si>
    <t>O0245</t>
  </si>
  <si>
    <t>O0251</t>
  </si>
  <si>
    <t>O0262</t>
  </si>
  <si>
    <t>O0263</t>
  </si>
  <si>
    <t>O0307</t>
  </si>
  <si>
    <t>O0319</t>
  </si>
  <si>
    <t>O0332</t>
  </si>
  <si>
    <t>O0335</t>
  </si>
  <si>
    <t>O0339</t>
  </si>
  <si>
    <t>O0359</t>
  </si>
  <si>
    <t>O0362</t>
  </si>
  <si>
    <t>O0373</t>
  </si>
  <si>
    <t>O0376</t>
  </si>
  <si>
    <t>O0413</t>
  </si>
  <si>
    <t>O0437</t>
  </si>
  <si>
    <t>O0458</t>
  </si>
  <si>
    <t>O0549</t>
  </si>
  <si>
    <t>O0580</t>
  </si>
  <si>
    <t>O0583</t>
  </si>
  <si>
    <t>O0587</t>
  </si>
  <si>
    <t>O0611</t>
  </si>
  <si>
    <t>O0634</t>
  </si>
  <si>
    <t>O0680</t>
  </si>
  <si>
    <t>O0698</t>
  </si>
  <si>
    <t>O0705</t>
  </si>
  <si>
    <t>O0710</t>
  </si>
  <si>
    <t>O0717</t>
  </si>
  <si>
    <t>O0721</t>
  </si>
  <si>
    <t>O0753</t>
  </si>
  <si>
    <t>O0801</t>
  </si>
  <si>
    <t>O0824</t>
  </si>
  <si>
    <t>O0835</t>
  </si>
  <si>
    <t>O0843</t>
  </si>
  <si>
    <t>O0852</t>
  </si>
  <si>
    <t>O0853</t>
  </si>
  <si>
    <t>O0865</t>
  </si>
  <si>
    <t>O0881</t>
  </si>
  <si>
    <t>O0906</t>
  </si>
  <si>
    <t>O0948</t>
  </si>
  <si>
    <t>O0960</t>
  </si>
  <si>
    <t>O0987</t>
  </si>
  <si>
    <t>O0998</t>
  </si>
  <si>
    <t>O0013</t>
  </si>
  <si>
    <t>P010</t>
  </si>
  <si>
    <t>Table</t>
  </si>
  <si>
    <t>O0016</t>
  </si>
  <si>
    <t>O0019</t>
  </si>
  <si>
    <t>O0021</t>
  </si>
  <si>
    <t>O0025</t>
  </si>
  <si>
    <t>O0038</t>
  </si>
  <si>
    <t>O0047</t>
  </si>
  <si>
    <t>O0049</t>
  </si>
  <si>
    <t>O0052</t>
  </si>
  <si>
    <t>O0055</t>
  </si>
  <si>
    <t>O0072</t>
  </si>
  <si>
    <t>O0084</t>
  </si>
  <si>
    <t>O0090</t>
  </si>
  <si>
    <t>O0093</t>
  </si>
  <si>
    <t>O0102</t>
  </si>
  <si>
    <t>O0115</t>
  </si>
  <si>
    <t>O0118</t>
  </si>
  <si>
    <t>O0125</t>
  </si>
  <si>
    <t>O0177</t>
  </si>
  <si>
    <t>O0208</t>
  </si>
  <si>
    <t>O0223</t>
  </si>
  <si>
    <t>O0232</t>
  </si>
  <si>
    <t>O0238</t>
  </si>
  <si>
    <t>O0252</t>
  </si>
  <si>
    <t>O0277</t>
  </si>
  <si>
    <t>O0286</t>
  </si>
  <si>
    <t>O0302</t>
  </si>
  <si>
    <t>O0322</t>
  </si>
  <si>
    <t>O0338</t>
  </si>
  <si>
    <t>O0349</t>
  </si>
  <si>
    <t>O0356</t>
  </si>
  <si>
    <t>O0358</t>
  </si>
  <si>
    <t>O0369</t>
  </si>
  <si>
    <t>O0375</t>
  </si>
  <si>
    <t>O0378</t>
  </si>
  <si>
    <t>O0381</t>
  </si>
  <si>
    <t>O0384</t>
  </si>
  <si>
    <t>O0414</t>
  </si>
  <si>
    <t>O0419</t>
  </si>
  <si>
    <t>O0431</t>
  </si>
  <si>
    <t>O0451</t>
  </si>
  <si>
    <t>O0465</t>
  </si>
  <si>
    <t>O0488</t>
  </si>
  <si>
    <t>O0502</t>
  </si>
  <si>
    <t>O0526</t>
  </si>
  <si>
    <t>O0529</t>
  </si>
  <si>
    <t>O0542</t>
  </si>
  <si>
    <t>O0553</t>
  </si>
  <si>
    <t>O0599</t>
  </si>
  <si>
    <t>O0612</t>
  </si>
  <si>
    <t>O0627</t>
  </si>
  <si>
    <t>O0628</t>
  </si>
  <si>
    <t>O0631</t>
  </si>
  <si>
    <t>O0663</t>
  </si>
  <si>
    <t>O0666</t>
  </si>
  <si>
    <t>O0667</t>
  </si>
  <si>
    <t>O0707</t>
  </si>
  <si>
    <t>O0719</t>
  </si>
  <si>
    <t>O0746</t>
  </si>
  <si>
    <t>O0752</t>
  </si>
  <si>
    <t>O0769</t>
  </si>
  <si>
    <t>O0786</t>
  </si>
  <si>
    <t>O0804</t>
  </si>
  <si>
    <t>O0856</t>
  </si>
  <si>
    <t>O0858</t>
  </si>
  <si>
    <t>O0863</t>
  </si>
  <si>
    <t>O0878</t>
  </si>
  <si>
    <t>O0886</t>
  </si>
  <si>
    <t>O0889</t>
  </si>
  <si>
    <t>O0941</t>
  </si>
  <si>
    <t>O0945</t>
  </si>
  <si>
    <t>O0961</t>
  </si>
  <si>
    <t>O0971</t>
  </si>
  <si>
    <t>O0978</t>
  </si>
  <si>
    <t>O0986</t>
  </si>
  <si>
    <t>O0995</t>
  </si>
  <si>
    <t>O0026</t>
  </si>
  <si>
    <t>P011</t>
  </si>
  <si>
    <t>Notebook</t>
  </si>
  <si>
    <t>Office Supplies</t>
  </si>
  <si>
    <t>O0027</t>
  </si>
  <si>
    <t>O0060</t>
  </si>
  <si>
    <t>O0086</t>
  </si>
  <si>
    <t>O0098</t>
  </si>
  <si>
    <t>O0134</t>
  </si>
  <si>
    <t>O0150</t>
  </si>
  <si>
    <t>O0161</t>
  </si>
  <si>
    <t>O0167</t>
  </si>
  <si>
    <t>O0193</t>
  </si>
  <si>
    <t>O0220</t>
  </si>
  <si>
    <t>O0257</t>
  </si>
  <si>
    <t>O0270</t>
  </si>
  <si>
    <t>O0276</t>
  </si>
  <si>
    <t>O0289</t>
  </si>
  <si>
    <t>O0290</t>
  </si>
  <si>
    <t>O0316</t>
  </si>
  <si>
    <t>O0330</t>
  </si>
  <si>
    <t>O0368</t>
  </si>
  <si>
    <t>O0389</t>
  </si>
  <si>
    <t>O0396</t>
  </si>
  <si>
    <t>O0436</t>
  </si>
  <si>
    <t>O0449</t>
  </si>
  <si>
    <t>O0452</t>
  </si>
  <si>
    <t>O0457</t>
  </si>
  <si>
    <t>O0478</t>
  </si>
  <si>
    <t>O0504</t>
  </si>
  <si>
    <t>O0506</t>
  </si>
  <si>
    <t>O0512</t>
  </si>
  <si>
    <t>O0514</t>
  </si>
  <si>
    <t>O0518</t>
  </si>
  <si>
    <t>O0554</t>
  </si>
  <si>
    <t>O0556</t>
  </si>
  <si>
    <t>O0575</t>
  </si>
  <si>
    <t>O0584</t>
  </si>
  <si>
    <t>O0585</t>
  </si>
  <si>
    <t>O0596</t>
  </si>
  <si>
    <t>O0613</t>
  </si>
  <si>
    <t>O0638</t>
  </si>
  <si>
    <t>O0679</t>
  </si>
  <si>
    <t>O0681</t>
  </si>
  <si>
    <t>O0683</t>
  </si>
  <si>
    <t>O0708</t>
  </si>
  <si>
    <t>O0730</t>
  </si>
  <si>
    <t>O0740</t>
  </si>
  <si>
    <t>O0756</t>
  </si>
  <si>
    <t>O0776</t>
  </si>
  <si>
    <t>O0792</t>
  </si>
  <si>
    <t>O0849</t>
  </si>
  <si>
    <t>O0864</t>
  </si>
  <si>
    <t>O0869</t>
  </si>
  <si>
    <t>O0905</t>
  </si>
  <si>
    <t>O0908</t>
  </si>
  <si>
    <t>O0912</t>
  </si>
  <si>
    <t>O0925</t>
  </si>
  <si>
    <t>O0937</t>
  </si>
  <si>
    <t>O0944</t>
  </si>
  <si>
    <t>O0954</t>
  </si>
  <si>
    <t>O0956</t>
  </si>
  <si>
    <t>O0962</t>
  </si>
  <si>
    <t>O0965</t>
  </si>
  <si>
    <t>O0001</t>
  </si>
  <si>
    <t>P012</t>
  </si>
  <si>
    <t>Pen Set</t>
  </si>
  <si>
    <t>O0009</t>
  </si>
  <si>
    <t>O0010</t>
  </si>
  <si>
    <t>O0018</t>
  </si>
  <si>
    <t>O0046</t>
  </si>
  <si>
    <t>O0056</t>
  </si>
  <si>
    <t>O0071</t>
  </si>
  <si>
    <t>O0078</t>
  </si>
  <si>
    <t>O0079</t>
  </si>
  <si>
    <t>O0122</t>
  </si>
  <si>
    <t>O0165</t>
  </si>
  <si>
    <t>O0196</t>
  </si>
  <si>
    <t>O0197</t>
  </si>
  <si>
    <t>O0214</t>
  </si>
  <si>
    <t>O0219</t>
  </si>
  <si>
    <t>O0231</t>
  </si>
  <si>
    <t>O0233</t>
  </si>
  <si>
    <t>O0243</t>
  </si>
  <si>
    <t>O0255</t>
  </si>
  <si>
    <t>O0260</t>
  </si>
  <si>
    <t>O0261</t>
  </si>
  <si>
    <t>O0265</t>
  </si>
  <si>
    <t>O0288</t>
  </si>
  <si>
    <t>O0304</t>
  </si>
  <si>
    <t>O0309</t>
  </si>
  <si>
    <t>O0311</t>
  </si>
  <si>
    <t>O0313</t>
  </si>
  <si>
    <t>O0340</t>
  </si>
  <si>
    <t>O0343</t>
  </si>
  <si>
    <t>O0350</t>
  </si>
  <si>
    <t>O0365</t>
  </si>
  <si>
    <t>O0400</t>
  </si>
  <si>
    <t>O0405</t>
  </si>
  <si>
    <t>O0420</t>
  </si>
  <si>
    <t>O0435</t>
  </si>
  <si>
    <t>O0446</t>
  </si>
  <si>
    <t>O0464</t>
  </si>
  <si>
    <t>O0466</t>
  </si>
  <si>
    <t>O0501</t>
  </si>
  <si>
    <t>O0508</t>
  </si>
  <si>
    <t>O0513</t>
  </si>
  <si>
    <t>O0531</t>
  </si>
  <si>
    <t>O0555</t>
  </si>
  <si>
    <t>O0563</t>
  </si>
  <si>
    <t>O0600</t>
  </si>
  <si>
    <t>O0607</t>
  </si>
  <si>
    <t>O0633</t>
  </si>
  <si>
    <t>O0640</t>
  </si>
  <si>
    <t>O0641</t>
  </si>
  <si>
    <t>O0642</t>
  </si>
  <si>
    <t>O0685</t>
  </si>
  <si>
    <t>O0699</t>
  </si>
  <si>
    <t>O0748</t>
  </si>
  <si>
    <t>O0773</t>
  </si>
  <si>
    <t>O0797</t>
  </si>
  <si>
    <t>O0825</t>
  </si>
  <si>
    <t>O0831</t>
  </si>
  <si>
    <t>O0836</t>
  </si>
  <si>
    <t>O0842</t>
  </si>
  <si>
    <t>O0887</t>
  </si>
  <si>
    <t>O0888</t>
  </si>
  <si>
    <t>O0896</t>
  </si>
  <si>
    <t>O0907</t>
  </si>
  <si>
    <t>O0911</t>
  </si>
  <si>
    <t>O0940</t>
  </si>
  <si>
    <t>O0966</t>
  </si>
  <si>
    <t>O0975</t>
  </si>
  <si>
    <t>O0989</t>
  </si>
  <si>
    <t>O0005</t>
  </si>
  <si>
    <t>P013</t>
  </si>
  <si>
    <t>Printer Paper</t>
  </si>
  <si>
    <t>O0037</t>
  </si>
  <si>
    <t>O0058</t>
  </si>
  <si>
    <t>O0073</t>
  </si>
  <si>
    <t>O0113</t>
  </si>
  <si>
    <t>O0114</t>
  </si>
  <si>
    <t>O0127</t>
  </si>
  <si>
    <t>O0136</t>
  </si>
  <si>
    <t>O0137</t>
  </si>
  <si>
    <t>O0148</t>
  </si>
  <si>
    <t>O0151</t>
  </si>
  <si>
    <t>O0173</t>
  </si>
  <si>
    <t>O0178</t>
  </si>
  <si>
    <t>O0179</t>
  </si>
  <si>
    <t>O0192</t>
  </si>
  <si>
    <t>O0202</t>
  </si>
  <si>
    <t>O0228</t>
  </si>
  <si>
    <t>O0240</t>
  </si>
  <si>
    <t>O0248</t>
  </si>
  <si>
    <t>O0264</t>
  </si>
  <si>
    <t>O0272</t>
  </si>
  <si>
    <t>O0312</t>
  </si>
  <si>
    <t>O0315</t>
  </si>
  <si>
    <t>O0374</t>
  </si>
  <si>
    <t>O0410</t>
  </si>
  <si>
    <t>O0429</t>
  </si>
  <si>
    <t>O0447</t>
  </si>
  <si>
    <t>O0454</t>
  </si>
  <si>
    <t>O0469</t>
  </si>
  <si>
    <t>O0480</t>
  </si>
  <si>
    <t>O0482</t>
  </si>
  <si>
    <t>O0484</t>
  </si>
  <si>
    <t>O0491</t>
  </si>
  <si>
    <t>O0522</t>
  </si>
  <si>
    <t>O0524</t>
  </si>
  <si>
    <t>O0534</t>
  </si>
  <si>
    <t>O0569</t>
  </si>
  <si>
    <t>O0578</t>
  </si>
  <si>
    <t>O0602</t>
  </si>
  <si>
    <t>O0606</t>
  </si>
  <si>
    <t>O0621</t>
  </si>
  <si>
    <t>O0626</t>
  </si>
  <si>
    <t>O0637</t>
  </si>
  <si>
    <t>O0669</t>
  </si>
  <si>
    <t>O0692</t>
  </si>
  <si>
    <t>O0695</t>
  </si>
  <si>
    <t>O0709</t>
  </si>
  <si>
    <t>O0739</t>
  </si>
  <si>
    <t>O0742</t>
  </si>
  <si>
    <t>O0767</t>
  </si>
  <si>
    <t>O0770</t>
  </si>
  <si>
    <t>O0778</t>
  </si>
  <si>
    <t>O0780</t>
  </si>
  <si>
    <t>O0787</t>
  </si>
  <si>
    <t>O0793</t>
  </si>
  <si>
    <t>O0806</t>
  </si>
  <si>
    <t>O0827</t>
  </si>
  <si>
    <t>O0841</t>
  </si>
  <si>
    <t>O0848</t>
  </si>
  <si>
    <t>O0866</t>
  </si>
  <si>
    <t>O0872</t>
  </si>
  <si>
    <t>O0900</t>
  </si>
  <si>
    <t>O0929</t>
  </si>
  <si>
    <t>O0930</t>
  </si>
  <si>
    <t>O0984</t>
  </si>
  <si>
    <t>O0997</t>
  </si>
  <si>
    <t>O0045</t>
  </si>
  <si>
    <t>P014</t>
  </si>
  <si>
    <t>Stapler</t>
  </si>
  <si>
    <t>O0087</t>
  </si>
  <si>
    <t>O0103</t>
  </si>
  <si>
    <t>O0109</t>
  </si>
  <si>
    <t>O0128</t>
  </si>
  <si>
    <t>O0131</t>
  </si>
  <si>
    <t>O0140</t>
  </si>
  <si>
    <t>O0142</t>
  </si>
  <si>
    <t>O0154</t>
  </si>
  <si>
    <t>O0180</t>
  </si>
  <si>
    <t>O0181</t>
  </si>
  <si>
    <t>O0247</t>
  </si>
  <si>
    <t>O0259</t>
  </si>
  <si>
    <t>O0275</t>
  </si>
  <si>
    <t>O0281</t>
  </si>
  <si>
    <t>O0336</t>
  </si>
  <si>
    <t>O0370</t>
  </si>
  <si>
    <t>O0371</t>
  </si>
  <si>
    <t>O0393</t>
  </si>
  <si>
    <t>O0397</t>
  </si>
  <si>
    <t>O0417</t>
  </si>
  <si>
    <t>O0425</t>
  </si>
  <si>
    <t>O0450</t>
  </si>
  <si>
    <t>O0462</t>
  </si>
  <si>
    <t>O0474</t>
  </si>
  <si>
    <t>O0477</t>
  </si>
  <si>
    <t>O0481</t>
  </si>
  <si>
    <t>O0498</t>
  </si>
  <si>
    <t>O0507</t>
  </si>
  <si>
    <t>O0532</t>
  </si>
  <si>
    <t>O0551</t>
  </si>
  <si>
    <t>O0570</t>
  </si>
  <si>
    <t>O0576</t>
  </si>
  <si>
    <t>O0588</t>
  </si>
  <si>
    <t>O0604</t>
  </si>
  <si>
    <t>O0605</t>
  </si>
  <si>
    <t>O0625</t>
  </si>
  <si>
    <t>O0644</t>
  </si>
  <si>
    <t>O0649</t>
  </si>
  <si>
    <t>O0654</t>
  </si>
  <si>
    <t>O0668</t>
  </si>
  <si>
    <t>O0674</t>
  </si>
  <si>
    <t>O0676</t>
  </si>
  <si>
    <t>O0720</t>
  </si>
  <si>
    <t>O0727</t>
  </si>
  <si>
    <t>O0734</t>
  </si>
  <si>
    <t>O0747</t>
  </si>
  <si>
    <t>O0750</t>
  </si>
  <si>
    <t>O0771</t>
  </si>
  <si>
    <t>O0832</t>
  </si>
  <si>
    <t>O0847</t>
  </si>
  <si>
    <t>O0854</t>
  </si>
  <si>
    <t>O0857</t>
  </si>
  <si>
    <t>O0955</t>
  </si>
  <si>
    <t>O0970</t>
  </si>
  <si>
    <t>O0977</t>
  </si>
  <si>
    <t>O0979</t>
  </si>
  <si>
    <t>O1000</t>
  </si>
  <si>
    <t>O0008</t>
  </si>
  <si>
    <t>P015</t>
  </si>
  <si>
    <t>Folder</t>
  </si>
  <si>
    <t>O0033</t>
  </si>
  <si>
    <t>O0034</t>
  </si>
  <si>
    <t>O0035</t>
  </si>
  <si>
    <t>O0063</t>
  </si>
  <si>
    <t>O0065</t>
  </si>
  <si>
    <t>O0070</t>
  </si>
  <si>
    <t>O0081</t>
  </si>
  <si>
    <t>O0083</t>
  </si>
  <si>
    <t>O0096</t>
  </si>
  <si>
    <t>O0099</t>
  </si>
  <si>
    <t>O0104</t>
  </si>
  <si>
    <t>O0116</t>
  </si>
  <si>
    <t>O0126</t>
  </si>
  <si>
    <t>O0138</t>
  </si>
  <si>
    <t>O0145</t>
  </si>
  <si>
    <t>O0166</t>
  </si>
  <si>
    <t>O0175</t>
  </si>
  <si>
    <t>O0199</t>
  </si>
  <si>
    <t>O0200</t>
  </si>
  <si>
    <t>O0205</t>
  </si>
  <si>
    <t>O0235</t>
  </si>
  <si>
    <t>O0242</t>
  </si>
  <si>
    <t>O0254</t>
  </si>
  <si>
    <t>O0267</t>
  </si>
  <si>
    <t>O0273</t>
  </si>
  <si>
    <t>O0282</t>
  </si>
  <si>
    <t>O0301</t>
  </si>
  <si>
    <t>O0320</t>
  </si>
  <si>
    <t>O0321</t>
  </si>
  <si>
    <t>O0333</t>
  </si>
  <si>
    <t>O0346</t>
  </si>
  <si>
    <t>O0353</t>
  </si>
  <si>
    <t>O0382</t>
  </si>
  <si>
    <t>O0406</t>
  </si>
  <si>
    <t>O0408</t>
  </si>
  <si>
    <t>O0418</t>
  </si>
  <si>
    <t>O0432</t>
  </si>
  <si>
    <t>O0433</t>
  </si>
  <si>
    <t>O0445</t>
  </si>
  <si>
    <t>O0455</t>
  </si>
  <si>
    <t>O0461</t>
  </si>
  <si>
    <t>O0463</t>
  </si>
  <si>
    <t>O0511</t>
  </si>
  <si>
    <t>O0528</t>
  </si>
  <si>
    <t>O0533</t>
  </si>
  <si>
    <t>O0537</t>
  </si>
  <si>
    <t>O0545</t>
  </si>
  <si>
    <t>O0546</t>
  </si>
  <si>
    <t>O0558</t>
  </si>
  <si>
    <t>O0566</t>
  </si>
  <si>
    <t>O0590</t>
  </si>
  <si>
    <t>O0592</t>
  </si>
  <si>
    <t>O0593</t>
  </si>
  <si>
    <t>O0598</t>
  </si>
  <si>
    <t>O0601</t>
  </si>
  <si>
    <t>O0618</t>
  </si>
  <si>
    <t>O0629</t>
  </si>
  <si>
    <t>O0639</t>
  </si>
  <si>
    <t>O0653</t>
  </si>
  <si>
    <t>O0677</t>
  </si>
  <si>
    <t>O0684</t>
  </si>
  <si>
    <t>O0689</t>
  </si>
  <si>
    <t>O0700</t>
  </si>
  <si>
    <t>O0701</t>
  </si>
  <si>
    <t>O0702</t>
  </si>
  <si>
    <t>O0722</t>
  </si>
  <si>
    <t>O0729</t>
  </si>
  <si>
    <t>O0737</t>
  </si>
  <si>
    <t>O0738</t>
  </si>
  <si>
    <t>O0741</t>
  </si>
  <si>
    <t>O0745</t>
  </si>
  <si>
    <t>O0758</t>
  </si>
  <si>
    <t>O0761</t>
  </si>
  <si>
    <t>O0763</t>
  </si>
  <si>
    <t>O0779</t>
  </si>
  <si>
    <t>O0789</t>
  </si>
  <si>
    <t>O0802</t>
  </si>
  <si>
    <t>O0814</t>
  </si>
  <si>
    <t>O0828</t>
  </si>
  <si>
    <t>O0830</t>
  </si>
  <si>
    <t>O0834</t>
  </si>
  <si>
    <t>O0855</t>
  </si>
  <si>
    <t>O0875</t>
  </si>
  <si>
    <t>O0883</t>
  </si>
  <si>
    <t>O0890</t>
  </si>
  <si>
    <t>O0899</t>
  </si>
  <si>
    <t>O0913</t>
  </si>
  <si>
    <t>O0920</t>
  </si>
  <si>
    <t>O0938</t>
  </si>
  <si>
    <t>O0949</t>
  </si>
  <si>
    <t>O0950</t>
  </si>
  <si>
    <t>O0952</t>
  </si>
  <si>
    <t>O0958</t>
  </si>
  <si>
    <t>O0964</t>
  </si>
  <si>
    <t>O0968</t>
  </si>
  <si>
    <t>O0985</t>
  </si>
  <si>
    <t>O0988</t>
  </si>
  <si>
    <t>O0993</t>
  </si>
  <si>
    <t>Sum of sales</t>
  </si>
  <si>
    <t>Sum of profit</t>
  </si>
  <si>
    <t>Count of order_id</t>
  </si>
  <si>
    <t>KPI'S</t>
  </si>
  <si>
    <t>Total Sales</t>
  </si>
  <si>
    <t>Total Profit</t>
  </si>
  <si>
    <t>Total Orders</t>
  </si>
  <si>
    <t>Average Order Value</t>
  </si>
  <si>
    <t>month</t>
  </si>
  <si>
    <t>Row Labels</t>
  </si>
  <si>
    <t>May</t>
  </si>
  <si>
    <t>Grand Total</t>
  </si>
  <si>
    <t>Monthly Sales Trend</t>
  </si>
  <si>
    <t>Aug</t>
  </si>
  <si>
    <t>Apr</t>
  </si>
  <si>
    <t>Nov</t>
  </si>
  <si>
    <t>Oct</t>
  </si>
  <si>
    <t>Dec</t>
  </si>
  <si>
    <t>Jul</t>
  </si>
  <si>
    <t>Mar</t>
  </si>
  <si>
    <t>Jan</t>
  </si>
  <si>
    <t>Feb</t>
  </si>
  <si>
    <t>Sep</t>
  </si>
  <si>
    <t>Jun</t>
  </si>
  <si>
    <t>Category-wise Sales</t>
  </si>
  <si>
    <t>Region-wise Sales</t>
  </si>
  <si>
    <t>Top 10 Best Selling Products</t>
  </si>
  <si>
    <t>Top 10 Cusomers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</si>
</sst>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quot;₹&quot;\ #,##0.00"/>
    <numFmt numFmtId="165" formatCode="&quot;₹&quot;\ #,##0"/>
    <numFmt numFmtId="166" formatCode="&quot;₹&quot;\ 0.00,,&quot;M&quot;"/>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color theme="1" tint="4.9989318521683403E-2"/>
      <name val="Calibri"/>
      <family val="2"/>
      <scheme val="minor"/>
    </font>
  </fonts>
  <fills count="5">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66" fontId="0" fillId="0" borderId="0" xfId="0" applyNumberFormat="1"/>
    <xf numFmtId="0" fontId="0" fillId="0" borderId="1" xfId="0" applyBorder="1" applyAlignment="1">
      <alignment horizontal="center"/>
    </xf>
    <xf numFmtId="0" fontId="2" fillId="3" borderId="1" xfId="0" applyFont="1" applyFill="1" applyBorder="1" applyAlignment="1">
      <alignment horizontal="center"/>
    </xf>
    <xf numFmtId="166" fontId="0" fillId="0" borderId="1" xfId="1" applyNumberFormat="1" applyFont="1" applyBorder="1" applyAlignment="1">
      <alignment horizontal="center"/>
    </xf>
    <xf numFmtId="165" fontId="0" fillId="0" borderId="1" xfId="0" applyNumberFormat="1" applyBorder="1" applyAlignment="1">
      <alignment horizontal="center"/>
    </xf>
    <xf numFmtId="164" fontId="0" fillId="0" borderId="1" xfId="0" applyNumberFormat="1" applyBorder="1" applyAlignment="1">
      <alignment horizontal="center"/>
    </xf>
    <xf numFmtId="44" fontId="0" fillId="0" borderId="1" xfId="0" applyNumberFormat="1" applyBorder="1" applyAlignment="1">
      <alignment horizontal="center"/>
    </xf>
    <xf numFmtId="0" fontId="2" fillId="0" borderId="1" xfId="0" applyFont="1" applyBorder="1" applyAlignment="1">
      <alignment horizontal="center"/>
    </xf>
    <xf numFmtId="0" fontId="0" fillId="4" borderId="1" xfId="0" applyFill="1" applyBorder="1"/>
    <xf numFmtId="0" fontId="2" fillId="4" borderId="1" xfId="0" applyFont="1" applyFill="1" applyBorder="1"/>
    <xf numFmtId="0" fontId="3" fillId="2" borderId="1" xfId="0" applyFont="1" applyFill="1" applyBorder="1" applyAlignment="1">
      <alignment horizontal="center"/>
    </xf>
    <xf numFmtId="0" fontId="2" fillId="2" borderId="0" xfId="0" applyFont="1" applyFill="1" applyAlignment="1">
      <alignment horizontal="center"/>
    </xf>
  </cellXfs>
  <cellStyles count="2">
    <cellStyle name="Currency" xfId="1" builtinId="4"/>
    <cellStyle name="Normal" xfId="0" builtinId="0"/>
  </cellStyles>
  <dxfs count="3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quot;₹&quot;\ 0.00,,&quot;M&quot;"/>
    </dxf>
    <dxf>
      <numFmt numFmtId="166" formatCode="&quot;₹&quot;\ 0.00,,&quot;M&quot;"/>
    </dxf>
    <dxf>
      <numFmt numFmtId="166" formatCode="&quot;₹&quot;\ 0.00,,&quot;M&quot;"/>
    </dxf>
    <dxf>
      <numFmt numFmtId="166" formatCode="&quot;₹&quot;\ 0.00,,&quot;M&quot;"/>
    </dxf>
    <dxf>
      <numFmt numFmtId="166" formatCode="&quot;₹&quot;\ 0.00,,&quot;M&quot;"/>
    </dxf>
    <dxf>
      <numFmt numFmtId="166" formatCode="&quot;₹&quot;\ 0.00,,&quot;M&quot;"/>
    </dxf>
    <dxf>
      <fill>
        <patternFill>
          <bgColor theme="6" tint="0.59999389629810485"/>
        </patternFill>
      </fill>
    </dxf>
    <dxf>
      <alignment horizontal="center"/>
    </dxf>
    <dxf>
      <numFmt numFmtId="34" formatCode="_ &quot;₹&quot;\ * #,##0.00_ ;_ &quot;₹&quot;\ * \-#,##0.00_ ;_ &quot;₹&quot;\ * &quot;-&quot;??_ ;_ @_ "/>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color theme="0"/>
        <name val="Calibri"/>
        <family val="2"/>
        <scheme val="minor"/>
      </font>
      <fill>
        <patternFill>
          <bgColor theme="1" tint="0.24994659260841701"/>
        </patternFill>
      </fill>
    </dxf>
    <dxf>
      <fill>
        <patternFill>
          <bgColor theme="1" tint="0.24994659260841701"/>
        </patternFill>
      </fill>
      <border>
        <left style="thin">
          <color auto="1"/>
        </left>
        <right style="thin">
          <color auto="1"/>
        </right>
        <top style="thin">
          <color auto="1"/>
        </top>
        <bottom style="thin">
          <color auto="1"/>
        </bottom>
      </border>
    </dxf>
    <dxf>
      <font>
        <b/>
        <i val="0"/>
        <sz val="11"/>
        <color theme="0"/>
        <name val="Calibri"/>
        <family val="2"/>
        <scheme val="minor"/>
      </font>
      <fill>
        <patternFill>
          <bgColor theme="1" tint="0.24994659260841701"/>
        </patternFill>
      </fill>
    </dxf>
    <dxf>
      <font>
        <b/>
        <i val="0"/>
        <color theme="1" tint="0.24994659260841701"/>
      </font>
      <fill>
        <patternFill patternType="solid">
          <fgColor theme="0"/>
          <bgColor theme="1" tint="0.24994659260841701"/>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Order Date" pivot="0" table="0" count="8" xr9:uid="{7EFECE98-6F96-40AA-B104-6459D29DDC38}">
      <tableStyleElement type="wholeTable" dxfId="34"/>
      <tableStyleElement type="headerRow" dxfId="33"/>
    </tableStyle>
    <tableStyle name="Region" pivot="0" table="0" count="6" xr9:uid="{3CDC0258-6B78-4350-863C-85D0CD09D536}">
      <tableStyleElement type="wholeTable" dxfId="32"/>
      <tableStyleElement type="headerRow" dxfId="31"/>
    </tableStyle>
  </tableStyles>
  <colors>
    <mruColors>
      <color rgb="FFA211BF"/>
      <color rgb="FFFF6600"/>
      <color rgb="FF4FC3F7"/>
      <color rgb="FF43CEFF"/>
      <color rgb="FFF4C3F7"/>
      <color rgb="FFEE6D16"/>
      <color rgb="FF2B2B2B"/>
      <color rgb="FFF5F5F5"/>
      <color rgb="FF1E1E1E"/>
    </mruColors>
  </colors>
  <extLst>
    <ext xmlns:x14="http://schemas.microsoft.com/office/spreadsheetml/2009/9/main" uri="{46F421CA-312F-682f-3DD2-61675219B42D}">
      <x14:dxfs count="4">
        <dxf>
          <font>
            <b/>
            <i val="0"/>
            <color theme="2"/>
            <name val="Calibri"/>
            <family val="2"/>
            <scheme val="minor"/>
          </font>
        </dxf>
        <dxf>
          <font>
            <b/>
            <i val="0"/>
            <color theme="0"/>
            <name val="Calibri"/>
            <family val="2"/>
            <scheme val="minor"/>
          </font>
          <fill>
            <patternFill>
              <bgColor theme="2" tint="-0.24994659260841701"/>
            </patternFill>
          </fill>
        </dxf>
        <dxf>
          <fill>
            <patternFill>
              <bgColor theme="2"/>
            </patternFill>
          </fill>
        </dxf>
        <dxf>
          <fill>
            <patternFill>
              <bgColor theme="2"/>
            </patternFill>
          </fill>
        </dxf>
      </x14:dxfs>
    </ext>
    <ext xmlns:x14="http://schemas.microsoft.com/office/spreadsheetml/2009/9/main" uri="{EB79DEF2-80B8-43e5-95BD-54CBDDF9020C}">
      <x14:slicerStyles defaultSlicerStyle="SlicerStyleLight1">
        <x14:slicerStyle name="Region">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0691854609822"/>
              <bgColor theme="6" tint="0.59996337778862885"/>
            </patternFill>
          </fill>
        </dxf>
        <dxf>
          <fill>
            <patternFill patternType="solid">
              <fgColor theme="0"/>
              <bgColor theme="2" tint="-0.24994659260841701"/>
            </patternFill>
          </fill>
          <border diagonalUp="0" diagonalDown="0">
            <left style="thin">
              <color theme="1"/>
            </left>
            <right style="thin">
              <color theme="1"/>
            </right>
            <top style="thin">
              <color theme="1"/>
            </top>
            <bottom style="thin">
              <color theme="1"/>
            </bottom>
            <vertical/>
            <horizontal/>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Order Dat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[E-Commerce_Dashboard.xlsx]Charts!Monthly Sales Trend</c:name>
    <c:fmtId val="1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277777777777776E-2"/>
              <c:y val="-4.8645742198891825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5"/>
              <c:y val="-4.4016112569262196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372222222222227"/>
              <c:y val="4.39468503937007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44444444444494E-2"/>
              <c:y val="-4.8645742198891805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277777777777771E-2"/>
              <c:y val="5.320610965296004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166666666666769E-2"/>
              <c:y val="4.857648002333041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231408573928354E-2"/>
              <c:y val="-2.5497594050743658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5"/>
              <c:y val="-4.4016112569262196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277777777777776E-2"/>
              <c:y val="-4.8645742198891825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372222222222227"/>
              <c:y val="4.39468503937007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44444444444494E-2"/>
              <c:y val="-4.8645742198891805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277777777777771E-2"/>
              <c:y val="5.320610965296004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166666666666769E-2"/>
              <c:y val="4.857648002333041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231408573928354E-2"/>
              <c:y val="-2.5497594050743658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bg2">
                <a:lumMod val="25000"/>
              </a:schemeClr>
            </a:solidFill>
            <a:round/>
          </a:ln>
          <a:effectLst/>
        </c:spPr>
        <c:marker>
          <c:symbol val="circle"/>
          <c:size val="5"/>
          <c:spPr>
            <a:solidFill>
              <a:srgbClr val="43CEFF"/>
            </a:solidFill>
            <a:ln w="19050">
              <a:noFill/>
            </a:ln>
            <a:effectLst/>
          </c:spPr>
        </c:marker>
        <c:dLbl>
          <c:idx val="0"/>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0.10650006884891916"/>
              <c:y val="-7.386708191326830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7.7842254408888936E-2"/>
              <c:y val="-5.6108238335879655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9.6296395912566876E-2"/>
              <c:y val="7.3797743565636384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8.0647372792485919E-2"/>
              <c:y val="-7.8496298037372222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7.685205785180263E-2"/>
              <c:y val="6.8131390292631336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2.3166666666666769E-2"/>
              <c:y val="4.857648002333041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2.1825545901764568E-2"/>
              <c:y val="-7.0273827711834533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7.0730204912509254E-2"/>
              <c:y val="-6.0578211305676345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8.1868819859361106E-2"/>
              <c:y val="6.6287460336114698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7.8155948210410484E-2"/>
              <c:y val="-6.8040897872840525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1750" cap="rnd">
            <a:solidFill>
              <a:schemeClr val="bg2">
                <a:lumMod val="25000"/>
              </a:schemeClr>
            </a:solidFill>
            <a:round/>
          </a:ln>
          <a:effectLst/>
        </c:spPr>
        <c:marker>
          <c:symbol val="circle"/>
          <c:size val="5"/>
          <c:spPr>
            <a:solidFill>
              <a:srgbClr val="43CEFF"/>
            </a:solidFill>
            <a:ln w="19050">
              <a:noFill/>
            </a:ln>
            <a:effectLst/>
          </c:spPr>
        </c:marker>
        <c:dLbl>
          <c:idx val="0"/>
          <c:layout>
            <c:manualLayout>
              <c:x val="-7.0730204912509254E-2"/>
              <c:y val="8.8675520037607244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41588138456786E-2"/>
          <c:y val="0.19897016803251191"/>
          <c:w val="0.91831682372308643"/>
          <c:h val="0.66522198889764395"/>
        </c:manualLayout>
      </c:layout>
      <c:lineChart>
        <c:grouping val="standard"/>
        <c:varyColors val="0"/>
        <c:ser>
          <c:idx val="0"/>
          <c:order val="0"/>
          <c:tx>
            <c:strRef>
              <c:f>Charts!$B$3</c:f>
              <c:strCache>
                <c:ptCount val="1"/>
                <c:pt idx="0">
                  <c:v>Total</c:v>
                </c:pt>
              </c:strCache>
            </c:strRef>
          </c:tx>
          <c:spPr>
            <a:ln w="31750" cap="rnd">
              <a:solidFill>
                <a:schemeClr val="bg2">
                  <a:lumMod val="25000"/>
                </a:schemeClr>
              </a:solidFill>
              <a:round/>
            </a:ln>
            <a:effectLst/>
          </c:spPr>
          <c:marker>
            <c:symbol val="circle"/>
            <c:size val="5"/>
            <c:spPr>
              <a:solidFill>
                <a:srgbClr val="43CEFF"/>
              </a:solidFill>
              <a:ln w="19050">
                <a:noFill/>
              </a:ln>
              <a:effectLst/>
            </c:spPr>
          </c:marker>
          <c:dPt>
            <c:idx val="1"/>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0-E5EA-4B3A-8C8A-CCB6AA7AFF5D}"/>
              </c:ext>
            </c:extLst>
          </c:dPt>
          <c:dPt>
            <c:idx val="2"/>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1-E5EA-4B3A-8C8A-CCB6AA7AFF5D}"/>
              </c:ext>
            </c:extLst>
          </c:dPt>
          <c:dPt>
            <c:idx val="3"/>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2-E5EA-4B3A-8C8A-CCB6AA7AFF5D}"/>
              </c:ext>
            </c:extLst>
          </c:dPt>
          <c:dPt>
            <c:idx val="4"/>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3-E5EA-4B3A-8C8A-CCB6AA7AFF5D}"/>
              </c:ext>
            </c:extLst>
          </c:dPt>
          <c:dPt>
            <c:idx val="5"/>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4-E5EA-4B3A-8C8A-CCB6AA7AFF5D}"/>
              </c:ext>
            </c:extLst>
          </c:dPt>
          <c:dPt>
            <c:idx val="6"/>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8-E5EA-4B3A-8C8A-CCB6AA7AFF5D}"/>
              </c:ext>
            </c:extLst>
          </c:dPt>
          <c:dPt>
            <c:idx val="7"/>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9-E5EA-4B3A-8C8A-CCB6AA7AFF5D}"/>
              </c:ext>
            </c:extLst>
          </c:dPt>
          <c:dPt>
            <c:idx val="8"/>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A-E5EA-4B3A-8C8A-CCB6AA7AFF5D}"/>
              </c:ext>
            </c:extLst>
          </c:dPt>
          <c:dPt>
            <c:idx val="9"/>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B-E5EA-4B3A-8C8A-CCB6AA7AFF5D}"/>
              </c:ext>
            </c:extLst>
          </c:dPt>
          <c:dPt>
            <c:idx val="10"/>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5-E5EA-4B3A-8C8A-CCB6AA7AFF5D}"/>
              </c:ext>
            </c:extLst>
          </c:dPt>
          <c:dPt>
            <c:idx val="11"/>
            <c:marker>
              <c:symbol val="circle"/>
              <c:size val="5"/>
              <c:spPr>
                <a:solidFill>
                  <a:srgbClr val="43CEFF"/>
                </a:solidFill>
                <a:ln w="19050">
                  <a:noFill/>
                </a:ln>
                <a:effectLst/>
              </c:spPr>
            </c:marker>
            <c:bubble3D val="0"/>
            <c:spPr>
              <a:ln w="31750" cap="rnd">
                <a:solidFill>
                  <a:schemeClr val="bg2">
                    <a:lumMod val="25000"/>
                  </a:schemeClr>
                </a:solidFill>
                <a:round/>
              </a:ln>
              <a:effectLst/>
            </c:spPr>
            <c:extLst>
              <c:ext xmlns:c16="http://schemas.microsoft.com/office/drawing/2014/chart" uri="{C3380CC4-5D6E-409C-BE32-E72D297353CC}">
                <c16:uniqueId val="{00000006-E5EA-4B3A-8C8A-CCB6AA7AFF5D}"/>
              </c:ext>
            </c:extLst>
          </c:dPt>
          <c:dLbls>
            <c:dLbl>
              <c:idx val="1"/>
              <c:layout>
                <c:manualLayout>
                  <c:x val="-0.10650006884891916"/>
                  <c:y val="-7.38670819132683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EA-4B3A-8C8A-CCB6AA7AFF5D}"/>
                </c:ext>
              </c:extLst>
            </c:dLbl>
            <c:dLbl>
              <c:idx val="2"/>
              <c:layout>
                <c:manualLayout>
                  <c:x val="-7.7842254408888936E-2"/>
                  <c:y val="-5.61082383358796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EA-4B3A-8C8A-CCB6AA7AFF5D}"/>
                </c:ext>
              </c:extLst>
            </c:dLbl>
            <c:dLbl>
              <c:idx val="3"/>
              <c:layout>
                <c:manualLayout>
                  <c:x val="-9.6296395912566876E-2"/>
                  <c:y val="7.37977435656363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EA-4B3A-8C8A-CCB6AA7AFF5D}"/>
                </c:ext>
              </c:extLst>
            </c:dLbl>
            <c:dLbl>
              <c:idx val="4"/>
              <c:layout>
                <c:manualLayout>
                  <c:x val="-8.0647372792485919E-2"/>
                  <c:y val="-7.84962980373722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EA-4B3A-8C8A-CCB6AA7AFF5D}"/>
                </c:ext>
              </c:extLst>
            </c:dLbl>
            <c:dLbl>
              <c:idx val="5"/>
              <c:layout>
                <c:manualLayout>
                  <c:x val="-7.685205785180263E-2"/>
                  <c:y val="6.8131390292631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EA-4B3A-8C8A-CCB6AA7AFF5D}"/>
                </c:ext>
              </c:extLst>
            </c:dLbl>
            <c:dLbl>
              <c:idx val="6"/>
              <c:layout>
                <c:manualLayout>
                  <c:x val="-7.0730204912509254E-2"/>
                  <c:y val="-6.05782113056763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5EA-4B3A-8C8A-CCB6AA7AFF5D}"/>
                </c:ext>
              </c:extLst>
            </c:dLbl>
            <c:dLbl>
              <c:idx val="7"/>
              <c:layout>
                <c:manualLayout>
                  <c:x val="-8.1868819859361106E-2"/>
                  <c:y val="6.62874603361146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EA-4B3A-8C8A-CCB6AA7AFF5D}"/>
                </c:ext>
              </c:extLst>
            </c:dLbl>
            <c:dLbl>
              <c:idx val="8"/>
              <c:layout>
                <c:manualLayout>
                  <c:x val="-7.8155948210410484E-2"/>
                  <c:y val="-6.80408978728405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5EA-4B3A-8C8A-CCB6AA7AFF5D}"/>
                </c:ext>
              </c:extLst>
            </c:dLbl>
            <c:dLbl>
              <c:idx val="9"/>
              <c:layout>
                <c:manualLayout>
                  <c:x val="-7.0730204912509254E-2"/>
                  <c:y val="8.8675520037607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5EA-4B3A-8C8A-CCB6AA7AFF5D}"/>
                </c:ext>
              </c:extLst>
            </c:dLbl>
            <c:dLbl>
              <c:idx val="10"/>
              <c:layout>
                <c:manualLayout>
                  <c:x val="-2.3166666666666769E-2"/>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EA-4B3A-8C8A-CCB6AA7AFF5D}"/>
                </c:ext>
              </c:extLst>
            </c:dLbl>
            <c:dLbl>
              <c:idx val="11"/>
              <c:layout>
                <c:manualLayout>
                  <c:x val="-2.1825545901764568E-2"/>
                  <c:y val="-7.0273827711834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EA-4B3A-8C8A-CCB6AA7AFF5D}"/>
                </c:ext>
              </c:extLst>
            </c:dLbl>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 0.00,,"M"</c:formatCode>
                <c:ptCount val="12"/>
                <c:pt idx="0">
                  <c:v>3371391.2899999996</c:v>
                </c:pt>
                <c:pt idx="1">
                  <c:v>4546527.0699999994</c:v>
                </c:pt>
                <c:pt idx="2">
                  <c:v>5286006.0099999979</c:v>
                </c:pt>
                <c:pt idx="3">
                  <c:v>4332532.4999999991</c:v>
                </c:pt>
                <c:pt idx="4">
                  <c:v>4249174.59</c:v>
                </c:pt>
                <c:pt idx="5">
                  <c:v>3754721.87</c:v>
                </c:pt>
                <c:pt idx="6">
                  <c:v>4036800.4</c:v>
                </c:pt>
                <c:pt idx="7">
                  <c:v>3886266.5099999993</c:v>
                </c:pt>
                <c:pt idx="8">
                  <c:v>3950941.2600000002</c:v>
                </c:pt>
                <c:pt idx="9">
                  <c:v>4245886.72</c:v>
                </c:pt>
                <c:pt idx="10">
                  <c:v>4239064.09</c:v>
                </c:pt>
                <c:pt idx="11">
                  <c:v>5707209.1600000001</c:v>
                </c:pt>
              </c:numCache>
            </c:numRef>
          </c:val>
          <c:smooth val="0"/>
          <c:extLst>
            <c:ext xmlns:c16="http://schemas.microsoft.com/office/drawing/2014/chart" uri="{C3380CC4-5D6E-409C-BE32-E72D297353CC}">
              <c16:uniqueId val="{00000007-E5EA-4B3A-8C8A-CCB6AA7AFF5D}"/>
            </c:ext>
          </c:extLst>
        </c:ser>
        <c:dLbls>
          <c:dLblPos val="b"/>
          <c:showLegendKey val="0"/>
          <c:showVal val="1"/>
          <c:showCatName val="0"/>
          <c:showSerName val="0"/>
          <c:showPercent val="0"/>
          <c:showBubbleSize val="0"/>
        </c:dLbls>
        <c:marker val="1"/>
        <c:smooth val="0"/>
        <c:axId val="2132328255"/>
        <c:axId val="2132344095"/>
      </c:lineChart>
      <c:catAx>
        <c:axId val="213232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32344095"/>
        <c:crosses val="autoZero"/>
        <c:auto val="1"/>
        <c:lblAlgn val="ctr"/>
        <c:lblOffset val="100"/>
        <c:noMultiLvlLbl val="0"/>
      </c:catAx>
      <c:valAx>
        <c:axId val="2132344095"/>
        <c:scaling>
          <c:orientation val="minMax"/>
        </c:scaling>
        <c:delete val="1"/>
        <c:axPos val="l"/>
        <c:numFmt formatCode="&quot;₹&quot;\ 0.00,,&quot;M&quot;" sourceLinked="1"/>
        <c:majorTickMark val="none"/>
        <c:minorTickMark val="none"/>
        <c:tickLblPos val="nextTo"/>
        <c:crossAx val="213232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[E-Commerce_Dashboard.xlsx]Charts!Category-wise Sales</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2000">
                <a:schemeClr val="bg2">
                  <a:lumMod val="25000"/>
                </a:schemeClr>
              </a:gs>
              <a:gs pos="65000">
                <a:schemeClr val="accent5">
                  <a:lumMod val="75000"/>
                </a:schemeClr>
              </a:gs>
            </a:gsLst>
            <a:lin ang="5400000" scaled="1"/>
          </a:gradFill>
          <a:ln>
            <a:noFill/>
          </a:ln>
          <a:effectLst/>
        </c:spPr>
        <c:marker>
          <c:symbol val="none"/>
        </c:marker>
        <c:dLbl>
          <c:idx val="0"/>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50020300206844E-2"/>
          <c:y val="8.6342015743048145E-2"/>
          <c:w val="0.91749995939958628"/>
          <c:h val="0.77081479174083301"/>
        </c:manualLayout>
      </c:layout>
      <c:barChart>
        <c:barDir val="col"/>
        <c:grouping val="clustered"/>
        <c:varyColors val="0"/>
        <c:ser>
          <c:idx val="0"/>
          <c:order val="0"/>
          <c:tx>
            <c:strRef>
              <c:f>Charts!$B$22</c:f>
              <c:strCache>
                <c:ptCount val="1"/>
                <c:pt idx="0">
                  <c:v>Total</c:v>
                </c:pt>
              </c:strCache>
            </c:strRef>
          </c:tx>
          <c:spPr>
            <a:gradFill>
              <a:gsLst>
                <a:gs pos="22000">
                  <a:schemeClr val="bg2">
                    <a:lumMod val="25000"/>
                  </a:schemeClr>
                </a:gs>
                <a:gs pos="65000">
                  <a:schemeClr val="accent5">
                    <a:lumMod val="75000"/>
                  </a:schemeClr>
                </a:gs>
              </a:gsLst>
              <a:lin ang="5400000" scaled="1"/>
            </a:gradFill>
            <a:ln>
              <a:noFill/>
            </a:ln>
            <a:effectLst/>
          </c:spPr>
          <c:invertIfNegative val="0"/>
          <c:dLbls>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Charts!$A$23:$A$26</c:f>
              <c:strCache>
                <c:ptCount val="3"/>
                <c:pt idx="0">
                  <c:v>Furniture</c:v>
                </c:pt>
                <c:pt idx="1">
                  <c:v>Office Supplies</c:v>
                </c:pt>
                <c:pt idx="2">
                  <c:v>Electronics</c:v>
                </c:pt>
              </c:strCache>
            </c:strRef>
          </c:cat>
          <c:val>
            <c:numRef>
              <c:f>Charts!$B$23:$B$26</c:f>
              <c:numCache>
                <c:formatCode>"₹"\ 0.00,,"M"</c:formatCode>
                <c:ptCount val="3"/>
                <c:pt idx="0">
                  <c:v>19268522.370000023</c:v>
                </c:pt>
                <c:pt idx="1">
                  <c:v>18966306.040000003</c:v>
                </c:pt>
                <c:pt idx="2">
                  <c:v>13371693.060000001</c:v>
                </c:pt>
              </c:numCache>
            </c:numRef>
          </c:val>
          <c:extLst>
            <c:ext xmlns:c16="http://schemas.microsoft.com/office/drawing/2014/chart" uri="{C3380CC4-5D6E-409C-BE32-E72D297353CC}">
              <c16:uniqueId val="{00000000-20B6-4354-958E-429C36AC61E8}"/>
            </c:ext>
          </c:extLst>
        </c:ser>
        <c:dLbls>
          <c:dLblPos val="outEnd"/>
          <c:showLegendKey val="0"/>
          <c:showVal val="1"/>
          <c:showCatName val="0"/>
          <c:showSerName val="0"/>
          <c:showPercent val="0"/>
          <c:showBubbleSize val="0"/>
        </c:dLbls>
        <c:gapWidth val="219"/>
        <c:overlap val="-27"/>
        <c:axId val="1463699391"/>
        <c:axId val="1463702271"/>
      </c:barChart>
      <c:catAx>
        <c:axId val="146369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63702271"/>
        <c:crosses val="autoZero"/>
        <c:auto val="1"/>
        <c:lblAlgn val="ctr"/>
        <c:lblOffset val="100"/>
        <c:noMultiLvlLbl val="0"/>
      </c:catAx>
      <c:valAx>
        <c:axId val="1463702271"/>
        <c:scaling>
          <c:orientation val="minMax"/>
        </c:scaling>
        <c:delete val="1"/>
        <c:axPos val="l"/>
        <c:numFmt formatCode="&quot;₹&quot;\ 0.00,,&quot;M&quot;" sourceLinked="1"/>
        <c:majorTickMark val="none"/>
        <c:minorTickMark val="none"/>
        <c:tickLblPos val="nextTo"/>
        <c:crossAx val="146369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[E-Commerce_Dashboard.xlsx]Charts!Region-wise Sales</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3000">
                <a:schemeClr val="accent2">
                  <a:lumMod val="75000"/>
                </a:schemeClr>
              </a:gs>
              <a:gs pos="100000">
                <a:schemeClr val="accent4">
                  <a:lumMod val="60000"/>
                  <a:lumOff val="40000"/>
                </a:schemeClr>
              </a:gs>
            </a:gsLst>
            <a:lin ang="5400000" scaled="1"/>
          </a:gradFill>
          <a:ln>
            <a:noFill/>
          </a:ln>
          <a:effectLst/>
        </c:spPr>
        <c:marker>
          <c:symbol val="none"/>
        </c:marker>
        <c:dLbl>
          <c:idx val="0"/>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61696359826115E-2"/>
          <c:y val="8.7315064880030852E-2"/>
          <c:w val="0.91687660728034781"/>
          <c:h val="0.77687670518081164"/>
        </c:manualLayout>
      </c:layout>
      <c:barChart>
        <c:barDir val="col"/>
        <c:grouping val="clustered"/>
        <c:varyColors val="0"/>
        <c:ser>
          <c:idx val="0"/>
          <c:order val="0"/>
          <c:tx>
            <c:strRef>
              <c:f>Charts!$O$3</c:f>
              <c:strCache>
                <c:ptCount val="1"/>
                <c:pt idx="0">
                  <c:v>Total</c:v>
                </c:pt>
              </c:strCache>
            </c:strRef>
          </c:tx>
          <c:spPr>
            <a:gradFill>
              <a:gsLst>
                <a:gs pos="13000">
                  <a:schemeClr val="accent2">
                    <a:lumMod val="75000"/>
                  </a:schemeClr>
                </a:gs>
                <a:gs pos="100000">
                  <a:schemeClr val="accent4">
                    <a:lumMod val="60000"/>
                    <a:lumOff val="40000"/>
                  </a:schemeClr>
                </a:gs>
              </a:gsLst>
              <a:lin ang="5400000" scaled="1"/>
            </a:gradFill>
            <a:ln>
              <a:noFill/>
            </a:ln>
            <a:effectLst/>
          </c:spPr>
          <c:invertIfNegative val="0"/>
          <c:dLbls>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Charts!$N$4:$N$8</c:f>
              <c:strCache>
                <c:ptCount val="4"/>
                <c:pt idx="0">
                  <c:v>North</c:v>
                </c:pt>
                <c:pt idx="1">
                  <c:v>South</c:v>
                </c:pt>
                <c:pt idx="2">
                  <c:v>West</c:v>
                </c:pt>
                <c:pt idx="3">
                  <c:v>East</c:v>
                </c:pt>
              </c:strCache>
            </c:strRef>
          </c:cat>
          <c:val>
            <c:numRef>
              <c:f>Charts!$O$4:$O$8</c:f>
              <c:numCache>
                <c:formatCode>"₹"\ 0.00,,"M"</c:formatCode>
                <c:ptCount val="4"/>
                <c:pt idx="0">
                  <c:v>16258588.280000014</c:v>
                </c:pt>
                <c:pt idx="1">
                  <c:v>15959013.480000008</c:v>
                </c:pt>
                <c:pt idx="2">
                  <c:v>11260752.17</c:v>
                </c:pt>
                <c:pt idx="3">
                  <c:v>8128167.540000001</c:v>
                </c:pt>
              </c:numCache>
            </c:numRef>
          </c:val>
          <c:extLst>
            <c:ext xmlns:c16="http://schemas.microsoft.com/office/drawing/2014/chart" uri="{C3380CC4-5D6E-409C-BE32-E72D297353CC}">
              <c16:uniqueId val="{00000000-6319-4A8E-9C90-C4C75C3E145E}"/>
            </c:ext>
          </c:extLst>
        </c:ser>
        <c:dLbls>
          <c:dLblPos val="outEnd"/>
          <c:showLegendKey val="0"/>
          <c:showVal val="1"/>
          <c:showCatName val="0"/>
          <c:showSerName val="0"/>
          <c:showPercent val="0"/>
          <c:showBubbleSize val="0"/>
        </c:dLbls>
        <c:gapWidth val="161"/>
        <c:overlap val="-27"/>
        <c:axId val="1463669151"/>
        <c:axId val="1463686911"/>
      </c:barChart>
      <c:catAx>
        <c:axId val="146366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63686911"/>
        <c:crosses val="autoZero"/>
        <c:auto val="1"/>
        <c:lblAlgn val="ctr"/>
        <c:lblOffset val="100"/>
        <c:noMultiLvlLbl val="0"/>
      </c:catAx>
      <c:valAx>
        <c:axId val="1463686911"/>
        <c:scaling>
          <c:orientation val="minMax"/>
        </c:scaling>
        <c:delete val="1"/>
        <c:axPos val="l"/>
        <c:numFmt formatCode="&quot;₹&quot;\ 0.00,,&quot;M&quot;" sourceLinked="1"/>
        <c:majorTickMark val="none"/>
        <c:minorTickMark val="none"/>
        <c:tickLblPos val="nextTo"/>
        <c:crossAx val="146366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[E-Commerce_Dashboard.xlsx]Charts!Top 10 Best Selling Products</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6000">
                <a:schemeClr val="bg2">
                  <a:lumMod val="25000"/>
                </a:schemeClr>
              </a:gs>
              <a:gs pos="100000">
                <a:srgbClr val="00B0F0"/>
              </a:gs>
            </a:gsLst>
            <a:lin ang="5400000" scaled="1"/>
          </a:gradFill>
          <a:ln>
            <a:noFill/>
          </a:ln>
          <a:effectLst/>
        </c:spPr>
        <c:marker>
          <c:symbol val="none"/>
        </c:marker>
        <c:dLbl>
          <c:idx val="0"/>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42486538727875"/>
          <c:y val="1.7990694384012407E-2"/>
          <c:w val="0.71669695365461328"/>
          <c:h val="0.96584411777485257"/>
        </c:manualLayout>
      </c:layout>
      <c:barChart>
        <c:barDir val="bar"/>
        <c:grouping val="clustered"/>
        <c:varyColors val="0"/>
        <c:ser>
          <c:idx val="0"/>
          <c:order val="0"/>
          <c:tx>
            <c:strRef>
              <c:f>Charts!$O$20</c:f>
              <c:strCache>
                <c:ptCount val="1"/>
                <c:pt idx="0">
                  <c:v>Total</c:v>
                </c:pt>
              </c:strCache>
            </c:strRef>
          </c:tx>
          <c:spPr>
            <a:gradFill>
              <a:gsLst>
                <a:gs pos="26000">
                  <a:schemeClr val="bg2">
                    <a:lumMod val="25000"/>
                  </a:schemeClr>
                </a:gs>
                <a:gs pos="100000">
                  <a:srgbClr val="00B0F0"/>
                </a:gs>
              </a:gsLst>
              <a:lin ang="5400000" scaled="1"/>
            </a:gradFill>
            <a:ln>
              <a:noFill/>
            </a:ln>
            <a:effectLst/>
          </c:spPr>
          <c:invertIfNegative val="0"/>
          <c:dLbls>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Charts!$N$21:$N$31</c:f>
              <c:strCache>
                <c:ptCount val="10"/>
                <c:pt idx="0">
                  <c:v>Chair</c:v>
                </c:pt>
                <c:pt idx="1">
                  <c:v>Printer Paper</c:v>
                </c:pt>
                <c:pt idx="2">
                  <c:v>Headphones</c:v>
                </c:pt>
                <c:pt idx="3">
                  <c:v>Folder</c:v>
                </c:pt>
                <c:pt idx="4">
                  <c:v>Mouse</c:v>
                </c:pt>
                <c:pt idx="5">
                  <c:v>Keyboard</c:v>
                </c:pt>
                <c:pt idx="6">
                  <c:v>Bookshelf</c:v>
                </c:pt>
                <c:pt idx="7">
                  <c:v>Stapler</c:v>
                </c:pt>
                <c:pt idx="8">
                  <c:v>Notebook</c:v>
                </c:pt>
                <c:pt idx="9">
                  <c:v>Table</c:v>
                </c:pt>
              </c:strCache>
            </c:strRef>
          </c:cat>
          <c:val>
            <c:numRef>
              <c:f>Charts!$O$21:$O$31</c:f>
              <c:numCache>
                <c:formatCode>"₹"\ 0.00,,"M"</c:formatCode>
                <c:ptCount val="10"/>
                <c:pt idx="0">
                  <c:v>2069638.8100000008</c:v>
                </c:pt>
                <c:pt idx="1">
                  <c:v>2083835.4599999993</c:v>
                </c:pt>
                <c:pt idx="2">
                  <c:v>2083930.5499999998</c:v>
                </c:pt>
                <c:pt idx="3">
                  <c:v>3050633.0599999977</c:v>
                </c:pt>
                <c:pt idx="4">
                  <c:v>3663553.1100000008</c:v>
                </c:pt>
                <c:pt idx="5">
                  <c:v>4784825.0500000007</c:v>
                </c:pt>
                <c:pt idx="6">
                  <c:v>4955474.9299999988</c:v>
                </c:pt>
                <c:pt idx="7">
                  <c:v>5821313.3199999994</c:v>
                </c:pt>
                <c:pt idx="8">
                  <c:v>7308094.2699999996</c:v>
                </c:pt>
                <c:pt idx="9">
                  <c:v>9856526.400000006</c:v>
                </c:pt>
              </c:numCache>
            </c:numRef>
          </c:val>
          <c:extLst>
            <c:ext xmlns:c16="http://schemas.microsoft.com/office/drawing/2014/chart" uri="{C3380CC4-5D6E-409C-BE32-E72D297353CC}">
              <c16:uniqueId val="{00000000-8B42-4EB6-BF7F-1866DCF30BC2}"/>
            </c:ext>
          </c:extLst>
        </c:ser>
        <c:dLbls>
          <c:dLblPos val="outEnd"/>
          <c:showLegendKey val="0"/>
          <c:showVal val="1"/>
          <c:showCatName val="0"/>
          <c:showSerName val="0"/>
          <c:showPercent val="0"/>
          <c:showBubbleSize val="0"/>
        </c:dLbls>
        <c:gapWidth val="103"/>
        <c:axId val="1463722911"/>
        <c:axId val="1463720991"/>
      </c:barChart>
      <c:catAx>
        <c:axId val="146372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63720991"/>
        <c:crosses val="autoZero"/>
        <c:auto val="1"/>
        <c:lblAlgn val="ctr"/>
        <c:lblOffset val="100"/>
        <c:noMultiLvlLbl val="0"/>
      </c:catAx>
      <c:valAx>
        <c:axId val="1463720991"/>
        <c:scaling>
          <c:orientation val="minMax"/>
        </c:scaling>
        <c:delete val="1"/>
        <c:axPos val="b"/>
        <c:numFmt formatCode="&quot;₹&quot;\ 0.00,,&quot;M&quot;" sourceLinked="1"/>
        <c:majorTickMark val="none"/>
        <c:minorTickMark val="none"/>
        <c:tickLblPos val="nextTo"/>
        <c:crossAx val="146372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[E-Commerce_Dashboard.xlsx]Charts!Top 10 Cusomers by Revenue</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F0"/>
              </a:gs>
              <a:gs pos="100000">
                <a:schemeClr val="tx2">
                  <a:lumMod val="60000"/>
                  <a:lumOff val="40000"/>
                </a:schemeClr>
              </a:gs>
            </a:gsLst>
            <a:lin ang="5400000" scaled="1"/>
          </a:gradFill>
          <a:ln>
            <a:noFill/>
          </a:ln>
          <a:effectLst/>
        </c:spPr>
        <c:marker>
          <c:symbol val="none"/>
        </c:marker>
        <c:dLbl>
          <c:idx val="0"/>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67005160438944"/>
          <c:y val="7.7102789553537873E-2"/>
          <c:w val="0.72697657717820818"/>
          <c:h val="0.90887852143672787"/>
        </c:manualLayout>
      </c:layout>
      <c:barChart>
        <c:barDir val="bar"/>
        <c:grouping val="clustered"/>
        <c:varyColors val="0"/>
        <c:ser>
          <c:idx val="0"/>
          <c:order val="0"/>
          <c:tx>
            <c:strRef>
              <c:f>Charts!$B$37</c:f>
              <c:strCache>
                <c:ptCount val="1"/>
                <c:pt idx="0">
                  <c:v>Total</c:v>
                </c:pt>
              </c:strCache>
            </c:strRef>
          </c:tx>
          <c:spPr>
            <a:gradFill>
              <a:gsLst>
                <a:gs pos="0">
                  <a:srgbClr val="00B0F0"/>
                </a:gs>
                <a:gs pos="100000">
                  <a:schemeClr val="tx2">
                    <a:lumMod val="60000"/>
                    <a:lumOff val="40000"/>
                  </a:schemeClr>
                </a:gs>
              </a:gsLst>
              <a:lin ang="5400000" scaled="1"/>
            </a:gradFill>
            <a:ln>
              <a:noFill/>
            </a:ln>
            <a:effectLst/>
          </c:spPr>
          <c:invertIfNegative val="0"/>
          <c:dLbls>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Charts!$A$38:$A$48</c:f>
              <c:strCache>
                <c:ptCount val="10"/>
                <c:pt idx="0">
                  <c:v>Customer 51</c:v>
                </c:pt>
                <c:pt idx="1">
                  <c:v>Customer 15</c:v>
                </c:pt>
                <c:pt idx="2">
                  <c:v>Customer 4</c:v>
                </c:pt>
                <c:pt idx="3">
                  <c:v>Customer 84</c:v>
                </c:pt>
                <c:pt idx="4">
                  <c:v>Customer 85</c:v>
                </c:pt>
                <c:pt idx="5">
                  <c:v>Customer 16</c:v>
                </c:pt>
                <c:pt idx="6">
                  <c:v>Customer 40</c:v>
                </c:pt>
                <c:pt idx="7">
                  <c:v>Customer 45</c:v>
                </c:pt>
                <c:pt idx="8">
                  <c:v>Customer 66</c:v>
                </c:pt>
                <c:pt idx="9">
                  <c:v>Customer 26</c:v>
                </c:pt>
              </c:strCache>
            </c:strRef>
          </c:cat>
          <c:val>
            <c:numRef>
              <c:f>Charts!$B$38:$B$48</c:f>
              <c:numCache>
                <c:formatCode>"₹"\ 0.00,,"M"</c:formatCode>
                <c:ptCount val="10"/>
                <c:pt idx="0">
                  <c:v>790300.89</c:v>
                </c:pt>
                <c:pt idx="1">
                  <c:v>794147.5</c:v>
                </c:pt>
                <c:pt idx="2">
                  <c:v>863534.53999999992</c:v>
                </c:pt>
                <c:pt idx="3">
                  <c:v>875317.27</c:v>
                </c:pt>
                <c:pt idx="4">
                  <c:v>931049.91</c:v>
                </c:pt>
                <c:pt idx="5">
                  <c:v>938451.37000000011</c:v>
                </c:pt>
                <c:pt idx="6">
                  <c:v>943371.15999999992</c:v>
                </c:pt>
                <c:pt idx="7">
                  <c:v>1020598.0000000001</c:v>
                </c:pt>
                <c:pt idx="8">
                  <c:v>1076151.4099999999</c:v>
                </c:pt>
                <c:pt idx="9">
                  <c:v>1185859.8000000003</c:v>
                </c:pt>
              </c:numCache>
            </c:numRef>
          </c:val>
          <c:extLst>
            <c:ext xmlns:c16="http://schemas.microsoft.com/office/drawing/2014/chart" uri="{C3380CC4-5D6E-409C-BE32-E72D297353CC}">
              <c16:uniqueId val="{00000000-AD46-4413-919B-01DCFB390C1C}"/>
            </c:ext>
          </c:extLst>
        </c:ser>
        <c:dLbls>
          <c:dLblPos val="outEnd"/>
          <c:showLegendKey val="0"/>
          <c:showVal val="1"/>
          <c:showCatName val="0"/>
          <c:showSerName val="0"/>
          <c:showPercent val="0"/>
          <c:showBubbleSize val="0"/>
        </c:dLbls>
        <c:gapWidth val="107"/>
        <c:axId val="1623619711"/>
        <c:axId val="1623624991"/>
      </c:barChart>
      <c:catAx>
        <c:axId val="162361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23624991"/>
        <c:crosses val="autoZero"/>
        <c:auto val="1"/>
        <c:lblAlgn val="ctr"/>
        <c:lblOffset val="100"/>
        <c:noMultiLvlLbl val="0"/>
      </c:catAx>
      <c:valAx>
        <c:axId val="1623624991"/>
        <c:scaling>
          <c:orientation val="minMax"/>
        </c:scaling>
        <c:delete val="1"/>
        <c:axPos val="b"/>
        <c:numFmt formatCode="&quot;₹&quot;\ 0.00,,&quot;M&quot;" sourceLinked="1"/>
        <c:majorTickMark val="none"/>
        <c:minorTickMark val="none"/>
        <c:tickLblPos val="nextTo"/>
        <c:crossAx val="162361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[E-Commerce_Dashboard.xlsx]Charts!Monthly Sales Trend</c:name>
    <c:fmtId val="1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277777777777776E-2"/>
              <c:y val="-4.8645742198891825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5"/>
              <c:y val="-4.4016112569262196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372222222222227"/>
              <c:y val="4.39468503937007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44444444444494E-2"/>
              <c:y val="-4.8645742198891805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277777777777771E-2"/>
              <c:y val="5.320610965296004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166666666666769E-2"/>
              <c:y val="4.8576480023330419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231408573928354E-2"/>
              <c:y val="-2.5497594050743658E-2"/>
            </c:manualLayout>
          </c:layout>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17E1-4BCD-9005-9AE95CDE09A5}"/>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17E1-4BCD-9005-9AE95CDE09A5}"/>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17E1-4BCD-9005-9AE95CDE09A5}"/>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17E1-4BCD-9005-9AE95CDE09A5}"/>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17E1-4BCD-9005-9AE95CDE09A5}"/>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17E1-4BCD-9005-9AE95CDE09A5}"/>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17E1-4BCD-9005-9AE95CDE09A5}"/>
              </c:ext>
            </c:extLst>
          </c:dPt>
          <c:dLbls>
            <c:dLbl>
              <c:idx val="1"/>
              <c:layout>
                <c:manualLayout>
                  <c:x val="-0.1065"/>
                  <c:y val="-4.40161125692621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E1-4BCD-9005-9AE95CDE09A5}"/>
                </c:ext>
              </c:extLst>
            </c:dLbl>
            <c:dLbl>
              <c:idx val="2"/>
              <c:layout>
                <c:manualLayout>
                  <c:x val="-5.9277777777777776E-2"/>
                  <c:y val="-4.8645742198891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E1-4BCD-9005-9AE95CDE09A5}"/>
                </c:ext>
              </c:extLst>
            </c:dLbl>
            <c:dLbl>
              <c:idx val="3"/>
              <c:layout>
                <c:manualLayout>
                  <c:x val="-0.10372222222222227"/>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E1-4BCD-9005-9AE95CDE09A5}"/>
                </c:ext>
              </c:extLst>
            </c:dLbl>
            <c:dLbl>
              <c:idx val="4"/>
              <c:layout>
                <c:manualLayout>
                  <c:x val="-5.0944444444444494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E1-4BCD-9005-9AE95CDE09A5}"/>
                </c:ext>
              </c:extLst>
            </c:dLbl>
            <c:dLbl>
              <c:idx val="5"/>
              <c:layout>
                <c:manualLayout>
                  <c:x val="-8.4277777777777771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E1-4BCD-9005-9AE95CDE09A5}"/>
                </c:ext>
              </c:extLst>
            </c:dLbl>
            <c:dLbl>
              <c:idx val="10"/>
              <c:layout>
                <c:manualLayout>
                  <c:x val="-2.3166666666666769E-2"/>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E1-4BCD-9005-9AE95CDE09A5}"/>
                </c:ext>
              </c:extLst>
            </c:dLbl>
            <c:dLbl>
              <c:idx val="11"/>
              <c:layout>
                <c:manualLayout>
                  <c:x val="-8.1231408573928354E-2"/>
                  <c:y val="-2.54975940507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7E1-4BCD-9005-9AE95CDE09A5}"/>
                </c:ext>
              </c:extLst>
            </c:dLbl>
            <c:numFmt formatCode="\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 0.00,,"M"</c:formatCode>
                <c:ptCount val="12"/>
                <c:pt idx="0">
                  <c:v>3371391.2899999996</c:v>
                </c:pt>
                <c:pt idx="1">
                  <c:v>4546527.0699999994</c:v>
                </c:pt>
                <c:pt idx="2">
                  <c:v>5286006.0099999979</c:v>
                </c:pt>
                <c:pt idx="3">
                  <c:v>4332532.4999999991</c:v>
                </c:pt>
                <c:pt idx="4">
                  <c:v>4249174.59</c:v>
                </c:pt>
                <c:pt idx="5">
                  <c:v>3754721.87</c:v>
                </c:pt>
                <c:pt idx="6">
                  <c:v>4036800.4</c:v>
                </c:pt>
                <c:pt idx="7">
                  <c:v>3886266.5099999993</c:v>
                </c:pt>
                <c:pt idx="8">
                  <c:v>3950941.2600000002</c:v>
                </c:pt>
                <c:pt idx="9">
                  <c:v>4245886.72</c:v>
                </c:pt>
                <c:pt idx="10">
                  <c:v>4239064.09</c:v>
                </c:pt>
                <c:pt idx="11">
                  <c:v>5707209.1600000001</c:v>
                </c:pt>
              </c:numCache>
            </c:numRef>
          </c:val>
          <c:smooth val="0"/>
          <c:extLst>
            <c:ext xmlns:c16="http://schemas.microsoft.com/office/drawing/2014/chart" uri="{C3380CC4-5D6E-409C-BE32-E72D297353CC}">
              <c16:uniqueId val="{00000000-17E1-4BCD-9005-9AE95CDE09A5}"/>
            </c:ext>
          </c:extLst>
        </c:ser>
        <c:dLbls>
          <c:dLblPos val="b"/>
          <c:showLegendKey val="0"/>
          <c:showVal val="1"/>
          <c:showCatName val="0"/>
          <c:showSerName val="0"/>
          <c:showPercent val="0"/>
          <c:showBubbleSize val="0"/>
        </c:dLbls>
        <c:marker val="1"/>
        <c:smooth val="0"/>
        <c:axId val="2132328255"/>
        <c:axId val="2132344095"/>
      </c:lineChart>
      <c:catAx>
        <c:axId val="213232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344095"/>
        <c:crosses val="autoZero"/>
        <c:auto val="1"/>
        <c:lblAlgn val="ctr"/>
        <c:lblOffset val="100"/>
        <c:noMultiLvlLbl val="0"/>
      </c:catAx>
      <c:valAx>
        <c:axId val="2132344095"/>
        <c:scaling>
          <c:orientation val="minMax"/>
        </c:scaling>
        <c:delete val="1"/>
        <c:axPos val="l"/>
        <c:numFmt formatCode="&quot;₹&quot;\ 0.00,,&quot;M&quot;" sourceLinked="1"/>
        <c:majorTickMark val="none"/>
        <c:minorTickMark val="none"/>
        <c:tickLblPos val="nextTo"/>
        <c:crossAx val="213232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[E-Commerce_Dashboard.xlsx]Charts!Category-wise Sales</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Charts!$A$23:$A$26</c:f>
              <c:strCache>
                <c:ptCount val="3"/>
                <c:pt idx="0">
                  <c:v>Furniture</c:v>
                </c:pt>
                <c:pt idx="1">
                  <c:v>Office Supplies</c:v>
                </c:pt>
                <c:pt idx="2">
                  <c:v>Electronics</c:v>
                </c:pt>
              </c:strCache>
            </c:strRef>
          </c:cat>
          <c:val>
            <c:numRef>
              <c:f>Charts!$B$23:$B$26</c:f>
              <c:numCache>
                <c:formatCode>"₹"\ 0.00,,"M"</c:formatCode>
                <c:ptCount val="3"/>
                <c:pt idx="0">
                  <c:v>19268522.370000023</c:v>
                </c:pt>
                <c:pt idx="1">
                  <c:v>18966306.040000003</c:v>
                </c:pt>
                <c:pt idx="2">
                  <c:v>13371693.060000001</c:v>
                </c:pt>
              </c:numCache>
            </c:numRef>
          </c:val>
          <c:extLst>
            <c:ext xmlns:c16="http://schemas.microsoft.com/office/drawing/2014/chart" uri="{C3380CC4-5D6E-409C-BE32-E72D297353CC}">
              <c16:uniqueId val="{00000000-EE52-40B8-9B9D-7BF1F5ACCFF8}"/>
            </c:ext>
          </c:extLst>
        </c:ser>
        <c:dLbls>
          <c:dLblPos val="outEnd"/>
          <c:showLegendKey val="0"/>
          <c:showVal val="1"/>
          <c:showCatName val="0"/>
          <c:showSerName val="0"/>
          <c:showPercent val="0"/>
          <c:showBubbleSize val="0"/>
        </c:dLbls>
        <c:gapWidth val="219"/>
        <c:overlap val="-27"/>
        <c:axId val="1463699391"/>
        <c:axId val="1463702271"/>
      </c:barChart>
      <c:catAx>
        <c:axId val="146369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02271"/>
        <c:crosses val="autoZero"/>
        <c:auto val="1"/>
        <c:lblAlgn val="ctr"/>
        <c:lblOffset val="100"/>
        <c:noMultiLvlLbl val="0"/>
      </c:catAx>
      <c:valAx>
        <c:axId val="1463702271"/>
        <c:scaling>
          <c:orientation val="minMax"/>
        </c:scaling>
        <c:delete val="1"/>
        <c:axPos val="l"/>
        <c:numFmt formatCode="&quot;₹&quot;\ 0.00,,&quot;M&quot;" sourceLinked="1"/>
        <c:majorTickMark val="none"/>
        <c:minorTickMark val="none"/>
        <c:tickLblPos val="nextTo"/>
        <c:crossAx val="146369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[E-Commerce_Dashboard.xlsx]Charts!Region-wise Sales</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Charts!$N$4:$N$8</c:f>
              <c:strCache>
                <c:ptCount val="4"/>
                <c:pt idx="0">
                  <c:v>North</c:v>
                </c:pt>
                <c:pt idx="1">
                  <c:v>South</c:v>
                </c:pt>
                <c:pt idx="2">
                  <c:v>West</c:v>
                </c:pt>
                <c:pt idx="3">
                  <c:v>East</c:v>
                </c:pt>
              </c:strCache>
            </c:strRef>
          </c:cat>
          <c:val>
            <c:numRef>
              <c:f>Charts!$O$4:$O$8</c:f>
              <c:numCache>
                <c:formatCode>"₹"\ 0.00,,"M"</c:formatCode>
                <c:ptCount val="4"/>
                <c:pt idx="0">
                  <c:v>16258588.280000014</c:v>
                </c:pt>
                <c:pt idx="1">
                  <c:v>15959013.480000008</c:v>
                </c:pt>
                <c:pt idx="2">
                  <c:v>11260752.17</c:v>
                </c:pt>
                <c:pt idx="3">
                  <c:v>8128167.540000001</c:v>
                </c:pt>
              </c:numCache>
            </c:numRef>
          </c:val>
          <c:extLst>
            <c:ext xmlns:c16="http://schemas.microsoft.com/office/drawing/2014/chart" uri="{C3380CC4-5D6E-409C-BE32-E72D297353CC}">
              <c16:uniqueId val="{00000000-90B2-45D2-B91D-DB0E912F7B8C}"/>
            </c:ext>
          </c:extLst>
        </c:ser>
        <c:dLbls>
          <c:dLblPos val="outEnd"/>
          <c:showLegendKey val="0"/>
          <c:showVal val="1"/>
          <c:showCatName val="0"/>
          <c:showSerName val="0"/>
          <c:showPercent val="0"/>
          <c:showBubbleSize val="0"/>
        </c:dLbls>
        <c:gapWidth val="219"/>
        <c:overlap val="-27"/>
        <c:axId val="1463669151"/>
        <c:axId val="1463686911"/>
      </c:barChart>
      <c:catAx>
        <c:axId val="146366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86911"/>
        <c:crosses val="autoZero"/>
        <c:auto val="1"/>
        <c:lblAlgn val="ctr"/>
        <c:lblOffset val="100"/>
        <c:noMultiLvlLbl val="0"/>
      </c:catAx>
      <c:valAx>
        <c:axId val="1463686911"/>
        <c:scaling>
          <c:orientation val="minMax"/>
        </c:scaling>
        <c:delete val="1"/>
        <c:axPos val="l"/>
        <c:numFmt formatCode="&quot;₹&quot;\ 0.00,,&quot;M&quot;" sourceLinked="1"/>
        <c:majorTickMark val="none"/>
        <c:minorTickMark val="none"/>
        <c:tickLblPos val="nextTo"/>
        <c:crossAx val="146366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[E-Commerce_Dashboard.xlsx]Charts!Top 10 Best Selling Products</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Charts!$O$20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Charts!$N$21:$N$31</c:f>
              <c:strCache>
                <c:ptCount val="10"/>
                <c:pt idx="0">
                  <c:v>Chair</c:v>
                </c:pt>
                <c:pt idx="1">
                  <c:v>Printer Paper</c:v>
                </c:pt>
                <c:pt idx="2">
                  <c:v>Headphones</c:v>
                </c:pt>
                <c:pt idx="3">
                  <c:v>Folder</c:v>
                </c:pt>
                <c:pt idx="4">
                  <c:v>Mouse</c:v>
                </c:pt>
                <c:pt idx="5">
                  <c:v>Keyboard</c:v>
                </c:pt>
                <c:pt idx="6">
                  <c:v>Bookshelf</c:v>
                </c:pt>
                <c:pt idx="7">
                  <c:v>Stapler</c:v>
                </c:pt>
                <c:pt idx="8">
                  <c:v>Notebook</c:v>
                </c:pt>
                <c:pt idx="9">
                  <c:v>Table</c:v>
                </c:pt>
              </c:strCache>
            </c:strRef>
          </c:cat>
          <c:val>
            <c:numRef>
              <c:f>Charts!$O$21:$O$31</c:f>
              <c:numCache>
                <c:formatCode>"₹"\ 0.00,,"M"</c:formatCode>
                <c:ptCount val="10"/>
                <c:pt idx="0">
                  <c:v>2069638.8100000008</c:v>
                </c:pt>
                <c:pt idx="1">
                  <c:v>2083835.4599999993</c:v>
                </c:pt>
                <c:pt idx="2">
                  <c:v>2083930.5499999998</c:v>
                </c:pt>
                <c:pt idx="3">
                  <c:v>3050633.0599999977</c:v>
                </c:pt>
                <c:pt idx="4">
                  <c:v>3663553.1100000008</c:v>
                </c:pt>
                <c:pt idx="5">
                  <c:v>4784825.0500000007</c:v>
                </c:pt>
                <c:pt idx="6">
                  <c:v>4955474.9299999988</c:v>
                </c:pt>
                <c:pt idx="7">
                  <c:v>5821313.3199999994</c:v>
                </c:pt>
                <c:pt idx="8">
                  <c:v>7308094.2699999996</c:v>
                </c:pt>
                <c:pt idx="9">
                  <c:v>9856526.400000006</c:v>
                </c:pt>
              </c:numCache>
            </c:numRef>
          </c:val>
          <c:extLst>
            <c:ext xmlns:c16="http://schemas.microsoft.com/office/drawing/2014/chart" uri="{C3380CC4-5D6E-409C-BE32-E72D297353CC}">
              <c16:uniqueId val="{00000000-5DE3-4EF0-83B6-A4662A932805}"/>
            </c:ext>
          </c:extLst>
        </c:ser>
        <c:dLbls>
          <c:dLblPos val="outEnd"/>
          <c:showLegendKey val="0"/>
          <c:showVal val="1"/>
          <c:showCatName val="0"/>
          <c:showSerName val="0"/>
          <c:showPercent val="0"/>
          <c:showBubbleSize val="0"/>
        </c:dLbls>
        <c:gapWidth val="182"/>
        <c:axId val="1463722911"/>
        <c:axId val="1463720991"/>
      </c:barChart>
      <c:catAx>
        <c:axId val="146372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20991"/>
        <c:crosses val="autoZero"/>
        <c:auto val="1"/>
        <c:lblAlgn val="ctr"/>
        <c:lblOffset val="100"/>
        <c:noMultiLvlLbl val="0"/>
      </c:catAx>
      <c:valAx>
        <c:axId val="1463720991"/>
        <c:scaling>
          <c:orientation val="minMax"/>
        </c:scaling>
        <c:delete val="1"/>
        <c:axPos val="b"/>
        <c:numFmt formatCode="&quot;₹&quot;\ 0.00,,&quot;M&quot;" sourceLinked="1"/>
        <c:majorTickMark val="none"/>
        <c:minorTickMark val="none"/>
        <c:tickLblPos val="nextTo"/>
        <c:crossAx val="146372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[E-Commerce_Dashboard.xlsx]Charts!Top 10 Cusomers by Revenue</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Charts!$A$38:$A$48</c:f>
              <c:strCache>
                <c:ptCount val="10"/>
                <c:pt idx="0">
                  <c:v>Customer 51</c:v>
                </c:pt>
                <c:pt idx="1">
                  <c:v>Customer 15</c:v>
                </c:pt>
                <c:pt idx="2">
                  <c:v>Customer 4</c:v>
                </c:pt>
                <c:pt idx="3">
                  <c:v>Customer 84</c:v>
                </c:pt>
                <c:pt idx="4">
                  <c:v>Customer 85</c:v>
                </c:pt>
                <c:pt idx="5">
                  <c:v>Customer 16</c:v>
                </c:pt>
                <c:pt idx="6">
                  <c:v>Customer 40</c:v>
                </c:pt>
                <c:pt idx="7">
                  <c:v>Customer 45</c:v>
                </c:pt>
                <c:pt idx="8">
                  <c:v>Customer 66</c:v>
                </c:pt>
                <c:pt idx="9">
                  <c:v>Customer 26</c:v>
                </c:pt>
              </c:strCache>
            </c:strRef>
          </c:cat>
          <c:val>
            <c:numRef>
              <c:f>Charts!$B$38:$B$48</c:f>
              <c:numCache>
                <c:formatCode>"₹"\ 0.00,,"M"</c:formatCode>
                <c:ptCount val="10"/>
                <c:pt idx="0">
                  <c:v>790300.89</c:v>
                </c:pt>
                <c:pt idx="1">
                  <c:v>794147.5</c:v>
                </c:pt>
                <c:pt idx="2">
                  <c:v>863534.53999999992</c:v>
                </c:pt>
                <c:pt idx="3">
                  <c:v>875317.27</c:v>
                </c:pt>
                <c:pt idx="4">
                  <c:v>931049.91</c:v>
                </c:pt>
                <c:pt idx="5">
                  <c:v>938451.37000000011</c:v>
                </c:pt>
                <c:pt idx="6">
                  <c:v>943371.15999999992</c:v>
                </c:pt>
                <c:pt idx="7">
                  <c:v>1020598.0000000001</c:v>
                </c:pt>
                <c:pt idx="8">
                  <c:v>1076151.4099999999</c:v>
                </c:pt>
                <c:pt idx="9">
                  <c:v>1185859.8000000003</c:v>
                </c:pt>
              </c:numCache>
            </c:numRef>
          </c:val>
          <c:extLst>
            <c:ext xmlns:c16="http://schemas.microsoft.com/office/drawing/2014/chart" uri="{C3380CC4-5D6E-409C-BE32-E72D297353CC}">
              <c16:uniqueId val="{00000000-EF01-47B2-9424-547BA29C1423}"/>
            </c:ext>
          </c:extLst>
        </c:ser>
        <c:dLbls>
          <c:dLblPos val="outEnd"/>
          <c:showLegendKey val="0"/>
          <c:showVal val="1"/>
          <c:showCatName val="0"/>
          <c:showSerName val="0"/>
          <c:showPercent val="0"/>
          <c:showBubbleSize val="0"/>
        </c:dLbls>
        <c:gapWidth val="182"/>
        <c:axId val="1623619711"/>
        <c:axId val="1623624991"/>
      </c:barChart>
      <c:catAx>
        <c:axId val="162361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24991"/>
        <c:crosses val="autoZero"/>
        <c:auto val="1"/>
        <c:lblAlgn val="ctr"/>
        <c:lblOffset val="100"/>
        <c:noMultiLvlLbl val="0"/>
      </c:catAx>
      <c:valAx>
        <c:axId val="1623624991"/>
        <c:scaling>
          <c:orientation val="minMax"/>
        </c:scaling>
        <c:delete val="1"/>
        <c:axPos val="b"/>
        <c:numFmt formatCode="&quot;₹&quot;\ 0.00,,&quot;M&quot;" sourceLinked="1"/>
        <c:majorTickMark val="none"/>
        <c:minorTickMark val="none"/>
        <c:tickLblPos val="nextTo"/>
        <c:crossAx val="162361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harts!A1"/><Relationship Id="rId3" Type="http://schemas.openxmlformats.org/officeDocument/2006/relationships/chart" Target="../charts/chart3.xml"/><Relationship Id="rId7" Type="http://schemas.openxmlformats.org/officeDocument/2006/relationships/hyperlink" Target="#'KPI''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emf"/><Relationship Id="rId9" Type="http://schemas.openxmlformats.org/officeDocument/2006/relationships/hyperlink" Target="#'E-Commerce_data'!A1"/></Relationships>
</file>

<file path=xl/drawings/_rels/drawing2.xml.rels><?xml version="1.0" encoding="UTF-8" standalone="yes"?>
<Relationships xmlns="http://schemas.openxmlformats.org/package/2006/relationships"><Relationship Id="rId3" Type="http://schemas.openxmlformats.org/officeDocument/2006/relationships/hyperlink" Target="#'E-Commerce_data'!A1"/><Relationship Id="rId2" Type="http://schemas.openxmlformats.org/officeDocument/2006/relationships/hyperlink" Target="#Charts!A1"/><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hyperlink" Target="#'E-Commerce_data'!A1"/><Relationship Id="rId3" Type="http://schemas.openxmlformats.org/officeDocument/2006/relationships/chart" Target="../charts/chart8.xml"/><Relationship Id="rId7" Type="http://schemas.openxmlformats.org/officeDocument/2006/relationships/hyperlink" Target="#'KPI''S'!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Dashboard!A1"/><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16934</xdr:colOff>
      <xdr:row>0</xdr:row>
      <xdr:rowOff>40641</xdr:rowOff>
    </xdr:from>
    <xdr:to>
      <xdr:col>22</xdr:col>
      <xdr:colOff>110067</xdr:colOff>
      <xdr:row>29</xdr:row>
      <xdr:rowOff>59268</xdr:rowOff>
    </xdr:to>
    <xdr:sp macro="" textlink="">
      <xdr:nvSpPr>
        <xdr:cNvPr id="2" name="Rectangle: Rounded Corners 1">
          <a:extLst>
            <a:ext uri="{FF2B5EF4-FFF2-40B4-BE49-F238E27FC236}">
              <a16:creationId xmlns:a16="http://schemas.microsoft.com/office/drawing/2014/main" id="{0527C242-262B-EA3B-0236-2A8ACB0C5534}"/>
            </a:ext>
          </a:extLst>
        </xdr:cNvPr>
        <xdr:cNvSpPr/>
      </xdr:nvSpPr>
      <xdr:spPr>
        <a:xfrm>
          <a:off x="1236134" y="40641"/>
          <a:ext cx="12285133" cy="5420360"/>
        </a:xfrm>
        <a:prstGeom prst="roundRect">
          <a:avLst>
            <a:gd name="adj" fmla="val 0"/>
          </a:avLst>
        </a:prstGeom>
        <a:solidFill>
          <a:srgbClr val="1E1E1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1"/>
        </a:p>
      </xdr:txBody>
    </xdr:sp>
    <xdr:clientData/>
  </xdr:twoCellAnchor>
  <xdr:twoCellAnchor>
    <xdr:from>
      <xdr:col>2</xdr:col>
      <xdr:colOff>90593</xdr:colOff>
      <xdr:row>0</xdr:row>
      <xdr:rowOff>101602</xdr:rowOff>
    </xdr:from>
    <xdr:to>
      <xdr:col>4</xdr:col>
      <xdr:colOff>275393</xdr:colOff>
      <xdr:row>29</xdr:row>
      <xdr:rowOff>16935</xdr:rowOff>
    </xdr:to>
    <xdr:sp macro="" textlink="">
      <xdr:nvSpPr>
        <xdr:cNvPr id="3" name="Rectangle 2">
          <a:extLst>
            <a:ext uri="{FF2B5EF4-FFF2-40B4-BE49-F238E27FC236}">
              <a16:creationId xmlns:a16="http://schemas.microsoft.com/office/drawing/2014/main" id="{A35FA4F9-1309-E295-B61C-513F0296B3D4}"/>
            </a:ext>
          </a:extLst>
        </xdr:cNvPr>
        <xdr:cNvSpPr/>
      </xdr:nvSpPr>
      <xdr:spPr>
        <a:xfrm>
          <a:off x="1309793" y="101602"/>
          <a:ext cx="1404000" cy="5317066"/>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4</xdr:col>
      <xdr:colOff>364068</xdr:colOff>
      <xdr:row>0</xdr:row>
      <xdr:rowOff>97369</xdr:rowOff>
    </xdr:from>
    <xdr:to>
      <xdr:col>22</xdr:col>
      <xdr:colOff>16934</xdr:colOff>
      <xdr:row>4</xdr:row>
      <xdr:rowOff>40642</xdr:rowOff>
    </xdr:to>
    <xdr:sp macro="" textlink="">
      <xdr:nvSpPr>
        <xdr:cNvPr id="4" name="Rectangle 3">
          <a:extLst>
            <a:ext uri="{FF2B5EF4-FFF2-40B4-BE49-F238E27FC236}">
              <a16:creationId xmlns:a16="http://schemas.microsoft.com/office/drawing/2014/main" id="{EFA0243F-D770-25AA-2949-0839449A6EEB}"/>
            </a:ext>
          </a:extLst>
        </xdr:cNvPr>
        <xdr:cNvSpPr/>
      </xdr:nvSpPr>
      <xdr:spPr>
        <a:xfrm>
          <a:off x="2802468" y="97369"/>
          <a:ext cx="10625666" cy="688340"/>
        </a:xfrm>
        <a:prstGeom prst="rect">
          <a:avLst/>
        </a:prstGeom>
        <a:solidFill>
          <a:schemeClr val="tx1">
            <a:lumMod val="75000"/>
            <a:lumOff val="2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800" b="1">
              <a:solidFill>
                <a:srgbClr val="F5F5F5"/>
              </a:solidFill>
            </a:rPr>
            <a:t>E-Commerce Sales Analysis Dashboard</a:t>
          </a:r>
        </a:p>
      </xdr:txBody>
    </xdr:sp>
    <xdr:clientData/>
  </xdr:twoCellAnchor>
  <xdr:twoCellAnchor>
    <xdr:from>
      <xdr:col>4</xdr:col>
      <xdr:colOff>364068</xdr:colOff>
      <xdr:row>4</xdr:row>
      <xdr:rowOff>116844</xdr:rowOff>
    </xdr:from>
    <xdr:to>
      <xdr:col>22</xdr:col>
      <xdr:colOff>18468</xdr:colOff>
      <xdr:row>8</xdr:row>
      <xdr:rowOff>59378</xdr:rowOff>
    </xdr:to>
    <xdr:sp macro="" textlink="">
      <xdr:nvSpPr>
        <xdr:cNvPr id="5" name="Rectangle 4">
          <a:extLst>
            <a:ext uri="{FF2B5EF4-FFF2-40B4-BE49-F238E27FC236}">
              <a16:creationId xmlns:a16="http://schemas.microsoft.com/office/drawing/2014/main" id="{470A4C4B-E7A0-2362-8553-AEA6A090CB7F}"/>
            </a:ext>
          </a:extLst>
        </xdr:cNvPr>
        <xdr:cNvSpPr/>
      </xdr:nvSpPr>
      <xdr:spPr>
        <a:xfrm>
          <a:off x="2802468" y="861911"/>
          <a:ext cx="10627200" cy="6876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43CEFF"/>
            </a:solidFill>
          </a:endParaRPr>
        </a:p>
      </xdr:txBody>
    </xdr:sp>
    <xdr:clientData/>
  </xdr:twoCellAnchor>
  <xdr:twoCellAnchor>
    <xdr:from>
      <xdr:col>5</xdr:col>
      <xdr:colOff>228600</xdr:colOff>
      <xdr:row>4</xdr:row>
      <xdr:rowOff>155370</xdr:rowOff>
    </xdr:from>
    <xdr:to>
      <xdr:col>7</xdr:col>
      <xdr:colOff>518160</xdr:colOff>
      <xdr:row>6</xdr:row>
      <xdr:rowOff>48690</xdr:rowOff>
    </xdr:to>
    <xdr:sp macro="" textlink="">
      <xdr:nvSpPr>
        <xdr:cNvPr id="6" name="Rectangle 5">
          <a:extLst>
            <a:ext uri="{FF2B5EF4-FFF2-40B4-BE49-F238E27FC236}">
              <a16:creationId xmlns:a16="http://schemas.microsoft.com/office/drawing/2014/main" id="{4A1CE187-C522-7CF7-7259-A4832815510F}"/>
            </a:ext>
          </a:extLst>
        </xdr:cNvPr>
        <xdr:cNvSpPr/>
      </xdr:nvSpPr>
      <xdr:spPr>
        <a:xfrm>
          <a:off x="3276600" y="900437"/>
          <a:ext cx="1508760" cy="265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43CEFF"/>
              </a:solidFill>
            </a:rPr>
            <a:t>Total Sales</a:t>
          </a:r>
        </a:p>
      </xdr:txBody>
    </xdr:sp>
    <xdr:clientData/>
  </xdr:twoCellAnchor>
  <xdr:twoCellAnchor>
    <xdr:from>
      <xdr:col>10</xdr:col>
      <xdr:colOff>185420</xdr:colOff>
      <xdr:row>4</xdr:row>
      <xdr:rowOff>155370</xdr:rowOff>
    </xdr:from>
    <xdr:to>
      <xdr:col>12</xdr:col>
      <xdr:colOff>474980</xdr:colOff>
      <xdr:row>6</xdr:row>
      <xdr:rowOff>48690</xdr:rowOff>
    </xdr:to>
    <xdr:sp macro="" textlink="">
      <xdr:nvSpPr>
        <xdr:cNvPr id="7" name="Rectangle 6">
          <a:extLst>
            <a:ext uri="{FF2B5EF4-FFF2-40B4-BE49-F238E27FC236}">
              <a16:creationId xmlns:a16="http://schemas.microsoft.com/office/drawing/2014/main" id="{AB14CEAA-E4E0-4A2F-83A6-335250B94556}"/>
            </a:ext>
          </a:extLst>
        </xdr:cNvPr>
        <xdr:cNvSpPr/>
      </xdr:nvSpPr>
      <xdr:spPr>
        <a:xfrm>
          <a:off x="6281420" y="900437"/>
          <a:ext cx="1508760" cy="265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43CEFF"/>
              </a:solidFill>
            </a:rPr>
            <a:t>Total Profit</a:t>
          </a:r>
        </a:p>
        <a:p>
          <a:pPr algn="ctr"/>
          <a:endParaRPr lang="en-IN" sz="1400" b="1">
            <a:solidFill>
              <a:srgbClr val="43CEFF"/>
            </a:solidFill>
          </a:endParaRPr>
        </a:p>
      </xdr:txBody>
    </xdr:sp>
    <xdr:clientData/>
  </xdr:twoCellAnchor>
  <xdr:twoCellAnchor>
    <xdr:from>
      <xdr:col>14</xdr:col>
      <xdr:colOff>187960</xdr:colOff>
      <xdr:row>4</xdr:row>
      <xdr:rowOff>155370</xdr:rowOff>
    </xdr:from>
    <xdr:to>
      <xdr:col>16</xdr:col>
      <xdr:colOff>477520</xdr:colOff>
      <xdr:row>6</xdr:row>
      <xdr:rowOff>48690</xdr:rowOff>
    </xdr:to>
    <xdr:sp macro="" textlink="">
      <xdr:nvSpPr>
        <xdr:cNvPr id="8" name="Rectangle 7">
          <a:extLst>
            <a:ext uri="{FF2B5EF4-FFF2-40B4-BE49-F238E27FC236}">
              <a16:creationId xmlns:a16="http://schemas.microsoft.com/office/drawing/2014/main" id="{CC31AAAC-3485-464F-80EC-3C6250A2DA69}"/>
            </a:ext>
          </a:extLst>
        </xdr:cNvPr>
        <xdr:cNvSpPr/>
      </xdr:nvSpPr>
      <xdr:spPr>
        <a:xfrm>
          <a:off x="8722360" y="900437"/>
          <a:ext cx="1508760" cy="265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43CEFF"/>
              </a:solidFill>
            </a:rPr>
            <a:t>Total Orders</a:t>
          </a:r>
        </a:p>
      </xdr:txBody>
    </xdr:sp>
    <xdr:clientData/>
  </xdr:twoCellAnchor>
  <xdr:twoCellAnchor>
    <xdr:from>
      <xdr:col>17</xdr:col>
      <xdr:colOff>480060</xdr:colOff>
      <xdr:row>4</xdr:row>
      <xdr:rowOff>155370</xdr:rowOff>
    </xdr:from>
    <xdr:to>
      <xdr:col>21</xdr:col>
      <xdr:colOff>594360</xdr:colOff>
      <xdr:row>6</xdr:row>
      <xdr:rowOff>48690</xdr:rowOff>
    </xdr:to>
    <xdr:sp macro="" textlink="">
      <xdr:nvSpPr>
        <xdr:cNvPr id="9" name="Rectangle 8">
          <a:extLst>
            <a:ext uri="{FF2B5EF4-FFF2-40B4-BE49-F238E27FC236}">
              <a16:creationId xmlns:a16="http://schemas.microsoft.com/office/drawing/2014/main" id="{CF74D82C-4047-4D65-AF30-785A983FFDEC}"/>
            </a:ext>
          </a:extLst>
        </xdr:cNvPr>
        <xdr:cNvSpPr/>
      </xdr:nvSpPr>
      <xdr:spPr>
        <a:xfrm>
          <a:off x="10843260" y="900437"/>
          <a:ext cx="2552700" cy="265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43CEFF"/>
              </a:solidFill>
            </a:rPr>
            <a:t>Average Order Value</a:t>
          </a:r>
        </a:p>
      </xdr:txBody>
    </xdr:sp>
    <xdr:clientData/>
  </xdr:twoCellAnchor>
  <xdr:twoCellAnchor>
    <xdr:from>
      <xdr:col>5</xdr:col>
      <xdr:colOff>251455</xdr:colOff>
      <xdr:row>5</xdr:row>
      <xdr:rowOff>155371</xdr:rowOff>
    </xdr:from>
    <xdr:to>
      <xdr:col>9</xdr:col>
      <xdr:colOff>182875</xdr:colOff>
      <xdr:row>8</xdr:row>
      <xdr:rowOff>136321</xdr:rowOff>
    </xdr:to>
    <xdr:sp macro="" textlink="'KPI''S'!E10">
      <xdr:nvSpPr>
        <xdr:cNvPr id="10" name="Rectangle 9">
          <a:extLst>
            <a:ext uri="{FF2B5EF4-FFF2-40B4-BE49-F238E27FC236}">
              <a16:creationId xmlns:a16="http://schemas.microsoft.com/office/drawing/2014/main" id="{5E97CF83-0449-4B28-8FFC-BC1967AFBB2C}"/>
            </a:ext>
          </a:extLst>
        </xdr:cNvPr>
        <xdr:cNvSpPr/>
      </xdr:nvSpPr>
      <xdr:spPr>
        <a:xfrm>
          <a:off x="3299455" y="1086704"/>
          <a:ext cx="2369820" cy="539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78B1083-0299-4162-88CD-11F353345CD1}" type="TxLink">
            <a:rPr lang="en-US" sz="2400" b="1" i="0" u="none" strike="noStrike">
              <a:solidFill>
                <a:srgbClr val="43CEFF"/>
              </a:solidFill>
              <a:latin typeface="Calibri"/>
              <a:ea typeface="Calibri"/>
              <a:cs typeface="Calibri"/>
            </a:rPr>
            <a:pPr algn="l"/>
            <a:t>₹ 51.61M</a:t>
          </a:fld>
          <a:endParaRPr lang="en-IN" sz="2400" b="1">
            <a:solidFill>
              <a:srgbClr val="43CEFF"/>
            </a:solidFill>
          </a:endParaRPr>
        </a:p>
      </xdr:txBody>
    </xdr:sp>
    <xdr:clientData/>
  </xdr:twoCellAnchor>
  <xdr:twoCellAnchor>
    <xdr:from>
      <xdr:col>10</xdr:col>
      <xdr:colOff>204166</xdr:colOff>
      <xdr:row>5</xdr:row>
      <xdr:rowOff>140131</xdr:rowOff>
    </xdr:from>
    <xdr:to>
      <xdr:col>14</xdr:col>
      <xdr:colOff>176371</xdr:colOff>
      <xdr:row>8</xdr:row>
      <xdr:rowOff>121081</xdr:rowOff>
    </xdr:to>
    <xdr:sp macro="" textlink="'KPI''S'!F10">
      <xdr:nvSpPr>
        <xdr:cNvPr id="11" name="Rectangle 10">
          <a:extLst>
            <a:ext uri="{FF2B5EF4-FFF2-40B4-BE49-F238E27FC236}">
              <a16:creationId xmlns:a16="http://schemas.microsoft.com/office/drawing/2014/main" id="{673C06E4-D731-4452-924A-D889478561A0}"/>
            </a:ext>
          </a:extLst>
        </xdr:cNvPr>
        <xdr:cNvSpPr/>
      </xdr:nvSpPr>
      <xdr:spPr>
        <a:xfrm>
          <a:off x="6300166" y="1071464"/>
          <a:ext cx="2410605" cy="539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3B7DB6-9BD2-4F74-B28F-E6F7EECF9DCE}" type="TxLink">
            <a:rPr lang="en-US" sz="2400" b="1" i="0" u="none" strike="noStrike">
              <a:solidFill>
                <a:srgbClr val="43CEFF"/>
              </a:solidFill>
              <a:latin typeface="Calibri"/>
              <a:ea typeface="Calibri"/>
              <a:cs typeface="Calibri"/>
            </a:rPr>
            <a:pPr algn="l"/>
            <a:t>₹ 10.57M</a:t>
          </a:fld>
          <a:endParaRPr lang="en-IN" sz="2400" b="1">
            <a:solidFill>
              <a:srgbClr val="43CEFF"/>
            </a:solidFill>
          </a:endParaRPr>
        </a:p>
      </xdr:txBody>
    </xdr:sp>
    <xdr:clientData/>
  </xdr:twoCellAnchor>
  <xdr:twoCellAnchor>
    <xdr:from>
      <xdr:col>14</xdr:col>
      <xdr:colOff>544733</xdr:colOff>
      <xdr:row>5</xdr:row>
      <xdr:rowOff>140131</xdr:rowOff>
    </xdr:from>
    <xdr:to>
      <xdr:col>17</xdr:col>
      <xdr:colOff>443119</xdr:colOff>
      <xdr:row>8</xdr:row>
      <xdr:rowOff>121081</xdr:rowOff>
    </xdr:to>
    <xdr:sp macro="" textlink="'KPI''S'!G10">
      <xdr:nvSpPr>
        <xdr:cNvPr id="12" name="Rectangle 11">
          <a:extLst>
            <a:ext uri="{FF2B5EF4-FFF2-40B4-BE49-F238E27FC236}">
              <a16:creationId xmlns:a16="http://schemas.microsoft.com/office/drawing/2014/main" id="{B05A72E0-BD04-48C2-A3D8-2E7348D76E08}"/>
            </a:ext>
          </a:extLst>
        </xdr:cNvPr>
        <xdr:cNvSpPr/>
      </xdr:nvSpPr>
      <xdr:spPr>
        <a:xfrm>
          <a:off x="9079133" y="1071464"/>
          <a:ext cx="1727186" cy="539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44866E2-ABD2-4D2D-92E4-A61DC05CCD18}" type="TxLink">
            <a:rPr lang="en-US" sz="2400" b="1" i="0" u="none" strike="noStrike">
              <a:solidFill>
                <a:srgbClr val="43CEFF"/>
              </a:solidFill>
              <a:latin typeface="Calibri"/>
              <a:ea typeface="Calibri"/>
              <a:cs typeface="Calibri"/>
            </a:rPr>
            <a:pPr algn="l"/>
            <a:t>1000</a:t>
          </a:fld>
          <a:endParaRPr lang="en-IN" sz="2400" b="1">
            <a:solidFill>
              <a:srgbClr val="43CEFF"/>
            </a:solidFill>
          </a:endParaRPr>
        </a:p>
      </xdr:txBody>
    </xdr:sp>
    <xdr:clientData/>
  </xdr:twoCellAnchor>
  <xdr:twoCellAnchor>
    <xdr:from>
      <xdr:col>18</xdr:col>
      <xdr:colOff>545580</xdr:colOff>
      <xdr:row>5</xdr:row>
      <xdr:rowOff>140131</xdr:rowOff>
    </xdr:from>
    <xdr:to>
      <xdr:col>21</xdr:col>
      <xdr:colOff>443966</xdr:colOff>
      <xdr:row>8</xdr:row>
      <xdr:rowOff>121081</xdr:rowOff>
    </xdr:to>
    <xdr:sp macro="" textlink="'KPI''S'!H10">
      <xdr:nvSpPr>
        <xdr:cNvPr id="13" name="Rectangle 12">
          <a:extLst>
            <a:ext uri="{FF2B5EF4-FFF2-40B4-BE49-F238E27FC236}">
              <a16:creationId xmlns:a16="http://schemas.microsoft.com/office/drawing/2014/main" id="{9A543F96-8A8B-42B0-B4A0-CBEB15633066}"/>
            </a:ext>
          </a:extLst>
        </xdr:cNvPr>
        <xdr:cNvSpPr/>
      </xdr:nvSpPr>
      <xdr:spPr>
        <a:xfrm>
          <a:off x="11518380" y="1071464"/>
          <a:ext cx="1727186" cy="539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B00104D-8027-4473-A829-FFCABA93498C}" type="TxLink">
            <a:rPr lang="en-US" sz="2400" b="1" i="0" u="none" strike="noStrike">
              <a:solidFill>
                <a:srgbClr val="43CEFF"/>
              </a:solidFill>
              <a:latin typeface="Calibri"/>
              <a:ea typeface="Calibri"/>
              <a:cs typeface="Calibri"/>
            </a:rPr>
            <a:pPr algn="l"/>
            <a:t>₹ 51,607</a:t>
          </a:fld>
          <a:endParaRPr lang="en-IN" sz="2400" b="1">
            <a:solidFill>
              <a:srgbClr val="43CEFF"/>
            </a:solidFill>
          </a:endParaRPr>
        </a:p>
      </xdr:txBody>
    </xdr:sp>
    <xdr:clientData/>
  </xdr:twoCellAnchor>
  <xdr:twoCellAnchor>
    <xdr:from>
      <xdr:col>4</xdr:col>
      <xdr:colOff>372535</xdr:colOff>
      <xdr:row>8</xdr:row>
      <xdr:rowOff>135470</xdr:rowOff>
    </xdr:from>
    <xdr:to>
      <xdr:col>10</xdr:col>
      <xdr:colOff>152400</xdr:colOff>
      <xdr:row>18</xdr:row>
      <xdr:rowOff>110069</xdr:rowOff>
    </xdr:to>
    <xdr:sp macro="" textlink="">
      <xdr:nvSpPr>
        <xdr:cNvPr id="14" name="Rectangle 13">
          <a:extLst>
            <a:ext uri="{FF2B5EF4-FFF2-40B4-BE49-F238E27FC236}">
              <a16:creationId xmlns:a16="http://schemas.microsoft.com/office/drawing/2014/main" id="{AEE5A09B-8FAE-97A8-9AF8-CC870F4120AC}"/>
            </a:ext>
          </a:extLst>
        </xdr:cNvPr>
        <xdr:cNvSpPr/>
      </xdr:nvSpPr>
      <xdr:spPr>
        <a:xfrm>
          <a:off x="2810935" y="1625603"/>
          <a:ext cx="3437465" cy="1837266"/>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245534</xdr:colOff>
      <xdr:row>8</xdr:row>
      <xdr:rowOff>134621</xdr:rowOff>
    </xdr:from>
    <xdr:to>
      <xdr:col>22</xdr:col>
      <xdr:colOff>33134</xdr:colOff>
      <xdr:row>18</xdr:row>
      <xdr:rowOff>107954</xdr:rowOff>
    </xdr:to>
    <xdr:sp macro="" textlink="">
      <xdr:nvSpPr>
        <xdr:cNvPr id="15" name="Rectangle 14">
          <a:extLst>
            <a:ext uri="{FF2B5EF4-FFF2-40B4-BE49-F238E27FC236}">
              <a16:creationId xmlns:a16="http://schemas.microsoft.com/office/drawing/2014/main" id="{D1279465-3F03-4DCA-8AA3-CEC254A0F7A2}"/>
            </a:ext>
          </a:extLst>
        </xdr:cNvPr>
        <xdr:cNvSpPr/>
      </xdr:nvSpPr>
      <xdr:spPr>
        <a:xfrm>
          <a:off x="9999134" y="1624754"/>
          <a:ext cx="3445200" cy="1836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279401</xdr:colOff>
      <xdr:row>8</xdr:row>
      <xdr:rowOff>14392</xdr:rowOff>
    </xdr:from>
    <xdr:to>
      <xdr:col>16</xdr:col>
      <xdr:colOff>59267</xdr:colOff>
      <xdr:row>17</xdr:row>
      <xdr:rowOff>173992</xdr:rowOff>
    </xdr:to>
    <xdr:sp macro="" textlink="">
      <xdr:nvSpPr>
        <xdr:cNvPr id="16" name="Rectangle 15">
          <a:extLst>
            <a:ext uri="{FF2B5EF4-FFF2-40B4-BE49-F238E27FC236}">
              <a16:creationId xmlns:a16="http://schemas.microsoft.com/office/drawing/2014/main" id="{B5A90A73-A2D7-4587-9879-C64E1450E8E0}"/>
            </a:ext>
          </a:extLst>
        </xdr:cNvPr>
        <xdr:cNvSpPr/>
      </xdr:nvSpPr>
      <xdr:spPr>
        <a:xfrm>
          <a:off x="5765801" y="1504525"/>
          <a:ext cx="3437466" cy="1836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245534</xdr:colOff>
      <xdr:row>19</xdr:row>
      <xdr:rowOff>16936</xdr:rowOff>
    </xdr:from>
    <xdr:to>
      <xdr:col>22</xdr:col>
      <xdr:colOff>33134</xdr:colOff>
      <xdr:row>28</xdr:row>
      <xdr:rowOff>176536</xdr:rowOff>
    </xdr:to>
    <xdr:sp macro="" textlink="">
      <xdr:nvSpPr>
        <xdr:cNvPr id="17" name="Rectangle 16">
          <a:extLst>
            <a:ext uri="{FF2B5EF4-FFF2-40B4-BE49-F238E27FC236}">
              <a16:creationId xmlns:a16="http://schemas.microsoft.com/office/drawing/2014/main" id="{2ED860B1-8AAA-4910-A744-F12AC4CDFFD7}"/>
            </a:ext>
          </a:extLst>
        </xdr:cNvPr>
        <xdr:cNvSpPr/>
      </xdr:nvSpPr>
      <xdr:spPr>
        <a:xfrm>
          <a:off x="9999134" y="3556003"/>
          <a:ext cx="3445200" cy="1836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r>
            <a:rPr lang="en-IN" sz="1100" b="1"/>
            <a:t>1. </a:t>
          </a:r>
          <a:r>
            <a:rPr lang="en-IN" sz="1100">
              <a:solidFill>
                <a:srgbClr val="FF0000"/>
              </a:solidFill>
            </a:rPr>
            <a:t>Furniture</a:t>
          </a:r>
          <a:r>
            <a:rPr lang="en-IN" sz="1100" baseline="0"/>
            <a:t> is the </a:t>
          </a:r>
          <a:r>
            <a:rPr lang="en-IN" sz="1100" baseline="0">
              <a:solidFill>
                <a:schemeClr val="accent2"/>
              </a:solidFill>
            </a:rPr>
            <a:t>highest revenue </a:t>
          </a:r>
          <a:r>
            <a:rPr lang="en-IN" sz="1100" baseline="0"/>
            <a:t>generating category.</a:t>
          </a:r>
        </a:p>
        <a:p>
          <a:pPr algn="l"/>
          <a:r>
            <a:rPr lang="en-IN" sz="1100" b="1" baseline="0"/>
            <a:t>2. </a:t>
          </a:r>
          <a:r>
            <a:rPr lang="en-IN"/>
            <a:t>The </a:t>
          </a:r>
          <a:r>
            <a:rPr lang="en-IN">
              <a:solidFill>
                <a:srgbClr val="00B050"/>
              </a:solidFill>
            </a:rPr>
            <a:t>North </a:t>
          </a:r>
          <a:r>
            <a:rPr lang="en-IN"/>
            <a:t>region contributes the </a:t>
          </a:r>
          <a:r>
            <a:rPr lang="en-IN">
              <a:solidFill>
                <a:srgbClr val="FFFF00"/>
              </a:solidFill>
            </a:rPr>
            <a:t>highest overall sales</a:t>
          </a:r>
          <a:r>
            <a:rPr lang="en-IN"/>
            <a:t>.</a:t>
          </a:r>
        </a:p>
        <a:p>
          <a:pPr algn="l"/>
          <a:r>
            <a:rPr lang="en-IN" sz="1100" b="1" baseline="0"/>
            <a:t>3. </a:t>
          </a:r>
          <a:r>
            <a:rPr lang="en-IN">
              <a:solidFill>
                <a:schemeClr val="accent5"/>
              </a:solidFill>
            </a:rPr>
            <a:t>Tables</a:t>
          </a:r>
          <a:r>
            <a:rPr lang="en-IN"/>
            <a:t> are the </a:t>
          </a:r>
          <a:r>
            <a:rPr lang="en-IN">
              <a:solidFill>
                <a:srgbClr val="FFC000"/>
              </a:solidFill>
            </a:rPr>
            <a:t>top-selling product </a:t>
          </a:r>
          <a:r>
            <a:rPr lang="en-IN"/>
            <a:t>by </a:t>
          </a:r>
          <a:r>
            <a:rPr lang="en-IN">
              <a:solidFill>
                <a:schemeClr val="accent5">
                  <a:lumMod val="40000"/>
                  <a:lumOff val="60000"/>
                </a:schemeClr>
              </a:solidFill>
            </a:rPr>
            <a:t>revenue</a:t>
          </a:r>
          <a:r>
            <a:rPr lang="en-IN"/>
            <a:t>.</a:t>
          </a:r>
        </a:p>
        <a:p>
          <a:pPr algn="l"/>
          <a:r>
            <a:rPr lang="en-IN" sz="1100" b="1" baseline="0"/>
            <a:t>4. </a:t>
          </a:r>
          <a:r>
            <a:rPr lang="en-IN" sz="1100" baseline="0">
              <a:solidFill>
                <a:srgbClr val="FF6600"/>
              </a:solidFill>
            </a:rPr>
            <a:t>Customer26</a:t>
          </a:r>
          <a:r>
            <a:rPr lang="en-IN" sz="1100" baseline="0"/>
            <a:t> accounted for the </a:t>
          </a:r>
          <a:r>
            <a:rPr lang="en-IN" sz="1100" baseline="0">
              <a:solidFill>
                <a:srgbClr val="00B0F0"/>
              </a:solidFill>
            </a:rPr>
            <a:t>largest individual spend</a:t>
          </a:r>
          <a:r>
            <a:rPr lang="en-IN" sz="1100" baseline="0"/>
            <a:t>.</a:t>
          </a:r>
          <a:endParaRPr lang="en-IN" sz="1100"/>
        </a:p>
        <a:p>
          <a:pPr algn="l"/>
          <a:endParaRPr lang="en-IN" sz="1100"/>
        </a:p>
      </xdr:txBody>
    </xdr:sp>
    <xdr:clientData/>
  </xdr:twoCellAnchor>
  <xdr:twoCellAnchor>
    <xdr:from>
      <xdr:col>10</xdr:col>
      <xdr:colOff>313268</xdr:colOff>
      <xdr:row>19</xdr:row>
      <xdr:rowOff>16936</xdr:rowOff>
    </xdr:from>
    <xdr:to>
      <xdr:col>16</xdr:col>
      <xdr:colOff>100868</xdr:colOff>
      <xdr:row>28</xdr:row>
      <xdr:rowOff>176536</xdr:rowOff>
    </xdr:to>
    <xdr:sp macro="" textlink="">
      <xdr:nvSpPr>
        <xdr:cNvPr id="18" name="Rectangle 17">
          <a:extLst>
            <a:ext uri="{FF2B5EF4-FFF2-40B4-BE49-F238E27FC236}">
              <a16:creationId xmlns:a16="http://schemas.microsoft.com/office/drawing/2014/main" id="{1FD12A1B-FB9E-41E6-8528-074B8D5AF878}"/>
            </a:ext>
          </a:extLst>
        </xdr:cNvPr>
        <xdr:cNvSpPr/>
      </xdr:nvSpPr>
      <xdr:spPr>
        <a:xfrm>
          <a:off x="6409268" y="3556003"/>
          <a:ext cx="3445200" cy="1836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372533</xdr:colOff>
      <xdr:row>19</xdr:row>
      <xdr:rowOff>25403</xdr:rowOff>
    </xdr:from>
    <xdr:to>
      <xdr:col>10</xdr:col>
      <xdr:colOff>160133</xdr:colOff>
      <xdr:row>28</xdr:row>
      <xdr:rowOff>185003</xdr:rowOff>
    </xdr:to>
    <xdr:sp macro="" textlink="">
      <xdr:nvSpPr>
        <xdr:cNvPr id="19" name="Rectangle 18">
          <a:extLst>
            <a:ext uri="{FF2B5EF4-FFF2-40B4-BE49-F238E27FC236}">
              <a16:creationId xmlns:a16="http://schemas.microsoft.com/office/drawing/2014/main" id="{AEA37550-8DE6-4D0B-999F-6EB579B24F37}"/>
            </a:ext>
          </a:extLst>
        </xdr:cNvPr>
        <xdr:cNvSpPr/>
      </xdr:nvSpPr>
      <xdr:spPr>
        <a:xfrm>
          <a:off x="2810933" y="3564470"/>
          <a:ext cx="3445200" cy="1836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364067</xdr:colOff>
      <xdr:row>8</xdr:row>
      <xdr:rowOff>135466</xdr:rowOff>
    </xdr:from>
    <xdr:to>
      <xdr:col>10</xdr:col>
      <xdr:colOff>127000</xdr:colOff>
      <xdr:row>18</xdr:row>
      <xdr:rowOff>76200</xdr:rowOff>
    </xdr:to>
    <xdr:graphicFrame macro="">
      <xdr:nvGraphicFramePr>
        <xdr:cNvPr id="20" name="Chart 19">
          <a:extLst>
            <a:ext uri="{FF2B5EF4-FFF2-40B4-BE49-F238E27FC236}">
              <a16:creationId xmlns:a16="http://schemas.microsoft.com/office/drawing/2014/main" id="{35A5782F-553E-4727-B674-B1DBD0BB8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524932</xdr:colOff>
      <xdr:row>8</xdr:row>
      <xdr:rowOff>69006</xdr:rowOff>
    </xdr:from>
    <xdr:to>
      <xdr:col>8</xdr:col>
      <xdr:colOff>50799</xdr:colOff>
      <xdr:row>9</xdr:row>
      <xdr:rowOff>177803</xdr:rowOff>
    </xdr:to>
    <xdr:sp macro="" textlink="">
      <xdr:nvSpPr>
        <xdr:cNvPr id="21" name="Rectangle 20">
          <a:extLst>
            <a:ext uri="{FF2B5EF4-FFF2-40B4-BE49-F238E27FC236}">
              <a16:creationId xmlns:a16="http://schemas.microsoft.com/office/drawing/2014/main" id="{D3BB65B6-6092-45A9-841F-5F8DECC9659F}"/>
            </a:ext>
          </a:extLst>
        </xdr:cNvPr>
        <xdr:cNvSpPr/>
      </xdr:nvSpPr>
      <xdr:spPr>
        <a:xfrm>
          <a:off x="2353732" y="1559139"/>
          <a:ext cx="2573867" cy="2950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Monthly Sales Trend</a:t>
          </a:r>
        </a:p>
      </xdr:txBody>
    </xdr:sp>
    <xdr:clientData/>
  </xdr:twoCellAnchor>
  <xdr:twoCellAnchor>
    <xdr:from>
      <xdr:col>10</xdr:col>
      <xdr:colOff>304801</xdr:colOff>
      <xdr:row>8</xdr:row>
      <xdr:rowOff>135471</xdr:rowOff>
    </xdr:from>
    <xdr:to>
      <xdr:col>16</xdr:col>
      <xdr:colOff>93134</xdr:colOff>
      <xdr:row>18</xdr:row>
      <xdr:rowOff>108804</xdr:rowOff>
    </xdr:to>
    <xdr:sp macro="" textlink="">
      <xdr:nvSpPr>
        <xdr:cNvPr id="24" name="Rectangle 23">
          <a:extLst>
            <a:ext uri="{FF2B5EF4-FFF2-40B4-BE49-F238E27FC236}">
              <a16:creationId xmlns:a16="http://schemas.microsoft.com/office/drawing/2014/main" id="{FB279840-ECFE-7899-7A0C-08DDDF56E214}"/>
            </a:ext>
          </a:extLst>
        </xdr:cNvPr>
        <xdr:cNvSpPr/>
      </xdr:nvSpPr>
      <xdr:spPr>
        <a:xfrm>
          <a:off x="6400801" y="1625604"/>
          <a:ext cx="3445933" cy="1836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431797</xdr:colOff>
      <xdr:row>8</xdr:row>
      <xdr:rowOff>77473</xdr:rowOff>
    </xdr:from>
    <xdr:to>
      <xdr:col>13</xdr:col>
      <xdr:colOff>567264</xdr:colOff>
      <xdr:row>10</xdr:row>
      <xdr:rowOff>3</xdr:rowOff>
    </xdr:to>
    <xdr:sp macro="" textlink="">
      <xdr:nvSpPr>
        <xdr:cNvPr id="26" name="Rectangle 25">
          <a:extLst>
            <a:ext uri="{FF2B5EF4-FFF2-40B4-BE49-F238E27FC236}">
              <a16:creationId xmlns:a16="http://schemas.microsoft.com/office/drawing/2014/main" id="{62E481AF-B75B-4D7B-BFDF-DBDF05D8E445}"/>
            </a:ext>
          </a:extLst>
        </xdr:cNvPr>
        <xdr:cNvSpPr/>
      </xdr:nvSpPr>
      <xdr:spPr>
        <a:xfrm>
          <a:off x="5918197" y="1567606"/>
          <a:ext cx="2573867" cy="2950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Category</a:t>
          </a:r>
          <a:r>
            <a:rPr lang="en-IN" sz="1400" b="1" baseline="0">
              <a:solidFill>
                <a:schemeClr val="bg1"/>
              </a:solidFill>
            </a:rPr>
            <a:t>-wise Sales</a:t>
          </a:r>
        </a:p>
        <a:p>
          <a:pPr algn="ctr"/>
          <a:endParaRPr lang="en-IN" sz="1400" b="1">
            <a:solidFill>
              <a:schemeClr val="bg1"/>
            </a:solidFill>
          </a:endParaRPr>
        </a:p>
      </xdr:txBody>
    </xdr:sp>
    <xdr:clientData/>
  </xdr:twoCellAnchor>
  <xdr:twoCellAnchor>
    <xdr:from>
      <xdr:col>10</xdr:col>
      <xdr:colOff>313268</xdr:colOff>
      <xdr:row>9</xdr:row>
      <xdr:rowOff>92283</xdr:rowOff>
    </xdr:from>
    <xdr:to>
      <xdr:col>16</xdr:col>
      <xdr:colOff>42333</xdr:colOff>
      <xdr:row>18</xdr:row>
      <xdr:rowOff>84667</xdr:rowOff>
    </xdr:to>
    <xdr:graphicFrame macro="">
      <xdr:nvGraphicFramePr>
        <xdr:cNvPr id="27" name="Chart 26">
          <a:extLst>
            <a:ext uri="{FF2B5EF4-FFF2-40B4-BE49-F238E27FC236}">
              <a16:creationId xmlns:a16="http://schemas.microsoft.com/office/drawing/2014/main" id="{D7BF781A-12E5-4A83-BE80-D32E94646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228599</xdr:colOff>
      <xdr:row>9</xdr:row>
      <xdr:rowOff>16934</xdr:rowOff>
    </xdr:from>
    <xdr:to>
      <xdr:col>21</xdr:col>
      <xdr:colOff>541867</xdr:colOff>
      <xdr:row>18</xdr:row>
      <xdr:rowOff>93133</xdr:rowOff>
    </xdr:to>
    <xdr:graphicFrame macro="">
      <xdr:nvGraphicFramePr>
        <xdr:cNvPr id="28" name="Chart 27">
          <a:extLst>
            <a:ext uri="{FF2B5EF4-FFF2-40B4-BE49-F238E27FC236}">
              <a16:creationId xmlns:a16="http://schemas.microsoft.com/office/drawing/2014/main" id="{40685F09-70E0-49D9-80BF-195278410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279394</xdr:colOff>
      <xdr:row>8</xdr:row>
      <xdr:rowOff>83819</xdr:rowOff>
    </xdr:from>
    <xdr:to>
      <xdr:col>19</xdr:col>
      <xdr:colOff>440261</xdr:colOff>
      <xdr:row>10</xdr:row>
      <xdr:rowOff>6349</xdr:rowOff>
    </xdr:to>
    <xdr:sp macro="" textlink="">
      <xdr:nvSpPr>
        <xdr:cNvPr id="30" name="Rectangle 29">
          <a:extLst>
            <a:ext uri="{FF2B5EF4-FFF2-40B4-BE49-F238E27FC236}">
              <a16:creationId xmlns:a16="http://schemas.microsoft.com/office/drawing/2014/main" id="{68F25611-F9D0-4384-A677-8E7BD58871D6}"/>
            </a:ext>
          </a:extLst>
        </xdr:cNvPr>
        <xdr:cNvSpPr/>
      </xdr:nvSpPr>
      <xdr:spPr>
        <a:xfrm>
          <a:off x="9423394" y="1573952"/>
          <a:ext cx="2599267" cy="2950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Region</a:t>
          </a:r>
          <a:r>
            <a:rPr lang="en-IN" sz="1400" b="1" baseline="0">
              <a:solidFill>
                <a:schemeClr val="bg1"/>
              </a:solidFill>
            </a:rPr>
            <a:t>-wise Sales</a:t>
          </a:r>
        </a:p>
        <a:p>
          <a:pPr algn="ctr"/>
          <a:endParaRPr lang="en-IN" sz="1400" b="1">
            <a:solidFill>
              <a:schemeClr val="bg1"/>
            </a:solidFill>
          </a:endParaRPr>
        </a:p>
      </xdr:txBody>
    </xdr:sp>
    <xdr:clientData/>
  </xdr:twoCellAnchor>
  <xdr:twoCellAnchor editAs="oneCell">
    <xdr:from>
      <xdr:col>25</xdr:col>
      <xdr:colOff>0</xdr:colOff>
      <xdr:row>7</xdr:row>
      <xdr:rowOff>0</xdr:rowOff>
    </xdr:from>
    <xdr:to>
      <xdr:col>26</xdr:col>
      <xdr:colOff>350520</xdr:colOff>
      <xdr:row>8</xdr:row>
      <xdr:rowOff>7620</xdr:rowOff>
    </xdr:to>
    <xdr:pic>
      <xdr:nvPicPr>
        <xdr:cNvPr id="31" name="Picture 30">
          <a:extLst>
            <a:ext uri="{FF2B5EF4-FFF2-40B4-BE49-F238E27FC236}">
              <a16:creationId xmlns:a16="http://schemas.microsoft.com/office/drawing/2014/main" id="{A8201610-FCF2-AC99-5FA3-FF0CD38FD6C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240000" y="1280160"/>
          <a:ext cx="9601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0</xdr:colOff>
      <xdr:row>7</xdr:row>
      <xdr:rowOff>0</xdr:rowOff>
    </xdr:from>
    <xdr:to>
      <xdr:col>26</xdr:col>
      <xdr:colOff>350520</xdr:colOff>
      <xdr:row>8</xdr:row>
      <xdr:rowOff>7620</xdr:rowOff>
    </xdr:to>
    <xdr:pic>
      <xdr:nvPicPr>
        <xdr:cNvPr id="32" name="Picture 31">
          <a:extLst>
            <a:ext uri="{FF2B5EF4-FFF2-40B4-BE49-F238E27FC236}">
              <a16:creationId xmlns:a16="http://schemas.microsoft.com/office/drawing/2014/main" id="{457C1094-649C-6F8C-AA3C-5B61DC0EB78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240000" y="1280160"/>
          <a:ext cx="9601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372535</xdr:colOff>
      <xdr:row>20</xdr:row>
      <xdr:rowOff>93134</xdr:rowOff>
    </xdr:from>
    <xdr:to>
      <xdr:col>10</xdr:col>
      <xdr:colOff>50801</xdr:colOff>
      <xdr:row>28</xdr:row>
      <xdr:rowOff>177799</xdr:rowOff>
    </xdr:to>
    <xdr:graphicFrame macro="">
      <xdr:nvGraphicFramePr>
        <xdr:cNvPr id="33" name="Chart 32">
          <a:extLst>
            <a:ext uri="{FF2B5EF4-FFF2-40B4-BE49-F238E27FC236}">
              <a16:creationId xmlns:a16="http://schemas.microsoft.com/office/drawing/2014/main" id="{46B39474-B19C-4D76-B737-64C4473A3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203195</xdr:colOff>
      <xdr:row>18</xdr:row>
      <xdr:rowOff>160867</xdr:rowOff>
    </xdr:from>
    <xdr:to>
      <xdr:col>8</xdr:col>
      <xdr:colOff>338666</xdr:colOff>
      <xdr:row>20</xdr:row>
      <xdr:rowOff>76201</xdr:rowOff>
    </xdr:to>
    <xdr:sp macro="" textlink="">
      <xdr:nvSpPr>
        <xdr:cNvPr id="34" name="Rectangle 33">
          <a:extLst>
            <a:ext uri="{FF2B5EF4-FFF2-40B4-BE49-F238E27FC236}">
              <a16:creationId xmlns:a16="http://schemas.microsoft.com/office/drawing/2014/main" id="{54123E0F-49A1-4108-9B4B-A1CB8AFC13BE}"/>
            </a:ext>
          </a:extLst>
        </xdr:cNvPr>
        <xdr:cNvSpPr/>
      </xdr:nvSpPr>
      <xdr:spPr>
        <a:xfrm>
          <a:off x="2641595" y="3513667"/>
          <a:ext cx="2573871" cy="287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bg1"/>
              </a:solidFill>
            </a:rPr>
            <a:t>Top 10 Best Selling Products</a:t>
          </a:r>
          <a:endParaRPr lang="en-IN" sz="1400" b="1">
            <a:solidFill>
              <a:schemeClr val="bg1"/>
            </a:solidFill>
          </a:endParaRPr>
        </a:p>
      </xdr:txBody>
    </xdr:sp>
    <xdr:clientData/>
  </xdr:twoCellAnchor>
  <xdr:twoCellAnchor>
    <xdr:from>
      <xdr:col>10</xdr:col>
      <xdr:colOff>321732</xdr:colOff>
      <xdr:row>20</xdr:row>
      <xdr:rowOff>8466</xdr:rowOff>
    </xdr:from>
    <xdr:to>
      <xdr:col>16</xdr:col>
      <xdr:colOff>42333</xdr:colOff>
      <xdr:row>28</xdr:row>
      <xdr:rowOff>118533</xdr:rowOff>
    </xdr:to>
    <xdr:graphicFrame macro="">
      <xdr:nvGraphicFramePr>
        <xdr:cNvPr id="35" name="Chart 34">
          <a:extLst>
            <a:ext uri="{FF2B5EF4-FFF2-40B4-BE49-F238E27FC236}">
              <a16:creationId xmlns:a16="http://schemas.microsoft.com/office/drawing/2014/main" id="{9AD2B968-A075-4F88-93DC-F1A210943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262466</xdr:colOff>
      <xdr:row>18</xdr:row>
      <xdr:rowOff>143938</xdr:rowOff>
    </xdr:from>
    <xdr:to>
      <xdr:col>14</xdr:col>
      <xdr:colOff>321734</xdr:colOff>
      <xdr:row>20</xdr:row>
      <xdr:rowOff>8468</xdr:rowOff>
    </xdr:to>
    <xdr:sp macro="" textlink="">
      <xdr:nvSpPr>
        <xdr:cNvPr id="36" name="Rectangle 35">
          <a:extLst>
            <a:ext uri="{FF2B5EF4-FFF2-40B4-BE49-F238E27FC236}">
              <a16:creationId xmlns:a16="http://schemas.microsoft.com/office/drawing/2014/main" id="{9797F99B-82CC-4DE3-8AA8-10B61671ADDF}"/>
            </a:ext>
          </a:extLst>
        </xdr:cNvPr>
        <xdr:cNvSpPr/>
      </xdr:nvSpPr>
      <xdr:spPr>
        <a:xfrm>
          <a:off x="6358466" y="3496738"/>
          <a:ext cx="2497668" cy="2370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bg1"/>
              </a:solidFill>
            </a:rPr>
            <a:t>Top 10 Customers by Revenue</a:t>
          </a:r>
          <a:endParaRPr lang="en-IN" sz="1400" b="1">
            <a:solidFill>
              <a:schemeClr val="bg1"/>
            </a:solidFill>
          </a:endParaRPr>
        </a:p>
      </xdr:txBody>
    </xdr:sp>
    <xdr:clientData/>
  </xdr:twoCellAnchor>
  <xdr:twoCellAnchor>
    <xdr:from>
      <xdr:col>16</xdr:col>
      <xdr:colOff>152399</xdr:colOff>
      <xdr:row>18</xdr:row>
      <xdr:rowOff>152402</xdr:rowOff>
    </xdr:from>
    <xdr:to>
      <xdr:col>17</xdr:col>
      <xdr:colOff>457199</xdr:colOff>
      <xdr:row>20</xdr:row>
      <xdr:rowOff>84669</xdr:rowOff>
    </xdr:to>
    <xdr:sp macro="" textlink="">
      <xdr:nvSpPr>
        <xdr:cNvPr id="37" name="Rectangle 36">
          <a:extLst>
            <a:ext uri="{FF2B5EF4-FFF2-40B4-BE49-F238E27FC236}">
              <a16:creationId xmlns:a16="http://schemas.microsoft.com/office/drawing/2014/main" id="{E454890B-241F-43DA-A405-CD6224EBC33A}"/>
            </a:ext>
          </a:extLst>
        </xdr:cNvPr>
        <xdr:cNvSpPr/>
      </xdr:nvSpPr>
      <xdr:spPr>
        <a:xfrm>
          <a:off x="9905999" y="3505202"/>
          <a:ext cx="9144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bg1"/>
              </a:solidFill>
            </a:rPr>
            <a:t>Insights</a:t>
          </a:r>
          <a:endParaRPr lang="en-IN" sz="1400" b="1">
            <a:solidFill>
              <a:schemeClr val="bg1"/>
            </a:solidFill>
          </a:endParaRPr>
        </a:p>
      </xdr:txBody>
    </xdr:sp>
    <xdr:clientData/>
  </xdr:twoCellAnchor>
  <xdr:twoCellAnchor>
    <xdr:from>
      <xdr:col>2</xdr:col>
      <xdr:colOff>110067</xdr:colOff>
      <xdr:row>0</xdr:row>
      <xdr:rowOff>118536</xdr:rowOff>
    </xdr:from>
    <xdr:to>
      <xdr:col>4</xdr:col>
      <xdr:colOff>258867</xdr:colOff>
      <xdr:row>2</xdr:row>
      <xdr:rowOff>42336</xdr:rowOff>
    </xdr:to>
    <xdr:sp macro="" textlink="">
      <xdr:nvSpPr>
        <xdr:cNvPr id="38" name="Rectangle 37">
          <a:hlinkClick xmlns:r="http://schemas.openxmlformats.org/officeDocument/2006/relationships" r:id="rId7"/>
          <a:extLst>
            <a:ext uri="{FF2B5EF4-FFF2-40B4-BE49-F238E27FC236}">
              <a16:creationId xmlns:a16="http://schemas.microsoft.com/office/drawing/2014/main" id="{2AA827B3-4429-F721-0307-E197F6A531E0}"/>
            </a:ext>
          </a:extLst>
        </xdr:cNvPr>
        <xdr:cNvSpPr/>
      </xdr:nvSpPr>
      <xdr:spPr>
        <a:xfrm>
          <a:off x="1329267" y="118536"/>
          <a:ext cx="1368000" cy="296333"/>
        </a:xfrm>
        <a:prstGeom prst="rect">
          <a:avLst/>
        </a:prstGeom>
        <a:solidFill>
          <a:schemeClr val="bg2">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KPI'S</a:t>
          </a:r>
        </a:p>
      </xdr:txBody>
    </xdr:sp>
    <xdr:clientData/>
  </xdr:twoCellAnchor>
  <xdr:twoCellAnchor editAs="oneCell">
    <xdr:from>
      <xdr:col>2</xdr:col>
      <xdr:colOff>127001</xdr:colOff>
      <xdr:row>6</xdr:row>
      <xdr:rowOff>101591</xdr:rowOff>
    </xdr:from>
    <xdr:to>
      <xdr:col>4</xdr:col>
      <xdr:colOff>228601</xdr:colOff>
      <xdr:row>14</xdr:row>
      <xdr:rowOff>2857</xdr:rowOff>
    </xdr:to>
    <mc:AlternateContent xmlns:mc="http://schemas.openxmlformats.org/markup-compatibility/2006" xmlns:tsle="http://schemas.microsoft.com/office/drawing/2012/timeslicer">
      <mc:Choice Requires="tsle">
        <xdr:graphicFrame macro="">
          <xdr:nvGraphicFramePr>
            <xdr:cNvPr id="39" name="order_date">
              <a:extLst>
                <a:ext uri="{FF2B5EF4-FFF2-40B4-BE49-F238E27FC236}">
                  <a16:creationId xmlns:a16="http://schemas.microsoft.com/office/drawing/2014/main" id="{09E69159-1E22-42FE-A600-2F260A6D9D7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46201" y="1219191"/>
              <a:ext cx="1320800" cy="13913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132926</xdr:colOff>
      <xdr:row>14</xdr:row>
      <xdr:rowOff>67733</xdr:rowOff>
    </xdr:from>
    <xdr:to>
      <xdr:col>4</xdr:col>
      <xdr:colOff>234926</xdr:colOff>
      <xdr:row>22</xdr:row>
      <xdr:rowOff>53665</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A5156CE3-BA01-47B3-8E8A-C59463EA54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2126" y="2675466"/>
              <a:ext cx="1321200" cy="1476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132927</xdr:colOff>
      <xdr:row>22</xdr:row>
      <xdr:rowOff>101598</xdr:rowOff>
    </xdr:from>
    <xdr:to>
      <xdr:col>4</xdr:col>
      <xdr:colOff>234927</xdr:colOff>
      <xdr:row>28</xdr:row>
      <xdr:rowOff>147681</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F8473670-34B5-4CAA-B46E-F627880AD3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2127" y="4199465"/>
              <a:ext cx="1321200" cy="1163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110067</xdr:colOff>
      <xdr:row>2</xdr:row>
      <xdr:rowOff>110068</xdr:rowOff>
    </xdr:from>
    <xdr:to>
      <xdr:col>4</xdr:col>
      <xdr:colOff>258867</xdr:colOff>
      <xdr:row>4</xdr:row>
      <xdr:rowOff>32734</xdr:rowOff>
    </xdr:to>
    <xdr:sp macro="" textlink="">
      <xdr:nvSpPr>
        <xdr:cNvPr id="42" name="Rectangle 41">
          <a:hlinkClick xmlns:r="http://schemas.openxmlformats.org/officeDocument/2006/relationships" r:id="rId8"/>
          <a:extLst>
            <a:ext uri="{FF2B5EF4-FFF2-40B4-BE49-F238E27FC236}">
              <a16:creationId xmlns:a16="http://schemas.microsoft.com/office/drawing/2014/main" id="{3E80273F-9B28-8BF5-F1CE-17DCCC100E3D}"/>
            </a:ext>
          </a:extLst>
        </xdr:cNvPr>
        <xdr:cNvSpPr/>
      </xdr:nvSpPr>
      <xdr:spPr>
        <a:xfrm>
          <a:off x="1329267" y="482601"/>
          <a:ext cx="1368000" cy="295200"/>
        </a:xfrm>
        <a:prstGeom prst="rect">
          <a:avLst/>
        </a:prstGeom>
        <a:solidFill>
          <a:schemeClr val="bg2">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CHARTS</a:t>
          </a:r>
        </a:p>
      </xdr:txBody>
    </xdr:sp>
    <xdr:clientData/>
  </xdr:twoCellAnchor>
  <xdr:twoCellAnchor>
    <xdr:from>
      <xdr:col>2</xdr:col>
      <xdr:colOff>110067</xdr:colOff>
      <xdr:row>4</xdr:row>
      <xdr:rowOff>110064</xdr:rowOff>
    </xdr:from>
    <xdr:to>
      <xdr:col>4</xdr:col>
      <xdr:colOff>258867</xdr:colOff>
      <xdr:row>6</xdr:row>
      <xdr:rowOff>32731</xdr:rowOff>
    </xdr:to>
    <xdr:sp macro="" textlink="">
      <xdr:nvSpPr>
        <xdr:cNvPr id="43" name="Rectangle 42">
          <a:hlinkClick xmlns:r="http://schemas.openxmlformats.org/officeDocument/2006/relationships" r:id="rId9"/>
          <a:extLst>
            <a:ext uri="{FF2B5EF4-FFF2-40B4-BE49-F238E27FC236}">
              <a16:creationId xmlns:a16="http://schemas.microsoft.com/office/drawing/2014/main" id="{B5F19FAC-5C5A-B9CD-D6CC-DB59688F9635}"/>
            </a:ext>
          </a:extLst>
        </xdr:cNvPr>
        <xdr:cNvSpPr/>
      </xdr:nvSpPr>
      <xdr:spPr>
        <a:xfrm>
          <a:off x="1329267" y="855131"/>
          <a:ext cx="1368000" cy="295200"/>
        </a:xfrm>
        <a:prstGeom prst="rect">
          <a:avLst/>
        </a:prstGeom>
        <a:solidFill>
          <a:schemeClr val="bg2">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22860</xdr:colOff>
      <xdr:row>2</xdr:row>
      <xdr:rowOff>30480</xdr:rowOff>
    </xdr:from>
    <xdr:to>
      <xdr:col>12</xdr:col>
      <xdr:colOff>594360</xdr:colOff>
      <xdr:row>4</xdr:row>
      <xdr:rowOff>15240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C7F829F-C18A-0A9C-AA00-8376252B4719}"/>
            </a:ext>
          </a:extLst>
        </xdr:cNvPr>
        <xdr:cNvSpPr/>
      </xdr:nvSpPr>
      <xdr:spPr>
        <a:xfrm>
          <a:off x="8968740" y="396240"/>
          <a:ext cx="1790700" cy="35052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DASHBOARD</a:t>
          </a:r>
        </a:p>
      </xdr:txBody>
    </xdr:sp>
    <xdr:clientData/>
  </xdr:twoCellAnchor>
  <xdr:twoCellAnchor>
    <xdr:from>
      <xdr:col>10</xdr:col>
      <xdr:colOff>22860</xdr:colOff>
      <xdr:row>5</xdr:row>
      <xdr:rowOff>22860</xdr:rowOff>
    </xdr:from>
    <xdr:to>
      <xdr:col>12</xdr:col>
      <xdr:colOff>594360</xdr:colOff>
      <xdr:row>7</xdr:row>
      <xdr:rowOff>7620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73F88B6-83BC-4BB1-86B1-BA0A9DC1BFC1}"/>
            </a:ext>
          </a:extLst>
        </xdr:cNvPr>
        <xdr:cNvSpPr/>
      </xdr:nvSpPr>
      <xdr:spPr>
        <a:xfrm>
          <a:off x="8968740" y="937260"/>
          <a:ext cx="1790700" cy="35052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CHARTS</a:t>
          </a:r>
        </a:p>
        <a:p>
          <a:pPr algn="ctr"/>
          <a:endParaRPr lang="en-IN" sz="1600" b="1"/>
        </a:p>
      </xdr:txBody>
    </xdr:sp>
    <xdr:clientData/>
  </xdr:twoCellAnchor>
  <xdr:twoCellAnchor>
    <xdr:from>
      <xdr:col>10</xdr:col>
      <xdr:colOff>30480</xdr:colOff>
      <xdr:row>8</xdr:row>
      <xdr:rowOff>22860</xdr:rowOff>
    </xdr:from>
    <xdr:to>
      <xdr:col>12</xdr:col>
      <xdr:colOff>601980</xdr:colOff>
      <xdr:row>10</xdr:row>
      <xdr:rowOff>7620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7B334CF1-FB17-4392-9D2B-EFAD3DFC9317}"/>
            </a:ext>
          </a:extLst>
        </xdr:cNvPr>
        <xdr:cNvSpPr/>
      </xdr:nvSpPr>
      <xdr:spPr>
        <a:xfrm>
          <a:off x="8976360" y="1485900"/>
          <a:ext cx="1790700" cy="35052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DATA</a:t>
          </a:r>
        </a:p>
        <a:p>
          <a:pPr algn="ctr"/>
          <a:endParaRPr lang="en-IN" sz="16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3</xdr:row>
      <xdr:rowOff>38100</xdr:rowOff>
    </xdr:from>
    <xdr:to>
      <xdr:col>10</xdr:col>
      <xdr:colOff>15240</xdr:colOff>
      <xdr:row>14</xdr:row>
      <xdr:rowOff>129540</xdr:rowOff>
    </xdr:to>
    <xdr:graphicFrame macro="">
      <xdr:nvGraphicFramePr>
        <xdr:cNvPr id="5" name="Chart 4">
          <a:extLst>
            <a:ext uri="{FF2B5EF4-FFF2-40B4-BE49-F238E27FC236}">
              <a16:creationId xmlns:a16="http://schemas.microsoft.com/office/drawing/2014/main" id="{42FE6DB7-C88A-BE95-6A6B-2ED4A2FA7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60959</xdr:rowOff>
    </xdr:from>
    <xdr:to>
      <xdr:col>10</xdr:col>
      <xdr:colOff>175260</xdr:colOff>
      <xdr:row>16</xdr:row>
      <xdr:rowOff>185056</xdr:rowOff>
    </xdr:to>
    <xdr:sp macro="" textlink="">
      <xdr:nvSpPr>
        <xdr:cNvPr id="7" name="Rectangle 6">
          <a:extLst>
            <a:ext uri="{FF2B5EF4-FFF2-40B4-BE49-F238E27FC236}">
              <a16:creationId xmlns:a16="http://schemas.microsoft.com/office/drawing/2014/main" id="{FF723E1E-5857-E6B6-0BBF-18BEF339BB31}"/>
            </a:ext>
          </a:extLst>
        </xdr:cNvPr>
        <xdr:cNvSpPr/>
      </xdr:nvSpPr>
      <xdr:spPr>
        <a:xfrm>
          <a:off x="0" y="60959"/>
          <a:ext cx="6815546" cy="3085011"/>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15240</xdr:rowOff>
    </xdr:from>
    <xdr:to>
      <xdr:col>11</xdr:col>
      <xdr:colOff>30480</xdr:colOff>
      <xdr:row>30</xdr:row>
      <xdr:rowOff>38100</xdr:rowOff>
    </xdr:to>
    <xdr:sp macro="" textlink="">
      <xdr:nvSpPr>
        <xdr:cNvPr id="3" name="Rectangle 2">
          <a:extLst>
            <a:ext uri="{FF2B5EF4-FFF2-40B4-BE49-F238E27FC236}">
              <a16:creationId xmlns:a16="http://schemas.microsoft.com/office/drawing/2014/main" id="{57288B4B-A012-0E9C-B71D-8815472B77C2}"/>
            </a:ext>
          </a:extLst>
        </xdr:cNvPr>
        <xdr:cNvSpPr/>
      </xdr:nvSpPr>
      <xdr:spPr>
        <a:xfrm>
          <a:off x="0" y="3346269"/>
          <a:ext cx="7280366" cy="224354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65314</xdr:colOff>
      <xdr:row>19</xdr:row>
      <xdr:rowOff>32656</xdr:rowOff>
    </xdr:from>
    <xdr:to>
      <xdr:col>9</xdr:col>
      <xdr:colOff>566057</xdr:colOff>
      <xdr:row>28</xdr:row>
      <xdr:rowOff>152399</xdr:rowOff>
    </xdr:to>
    <xdr:graphicFrame macro="">
      <xdr:nvGraphicFramePr>
        <xdr:cNvPr id="4" name="Chart 3">
          <a:extLst>
            <a:ext uri="{FF2B5EF4-FFF2-40B4-BE49-F238E27FC236}">
              <a16:creationId xmlns:a16="http://schemas.microsoft.com/office/drawing/2014/main" id="{5B1807FB-7263-79EA-39FD-8AEEB8066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21771</xdr:colOff>
      <xdr:row>1</xdr:row>
      <xdr:rowOff>70758</xdr:rowOff>
    </xdr:from>
    <xdr:to>
      <xdr:col>23</xdr:col>
      <xdr:colOff>326571</xdr:colOff>
      <xdr:row>9</xdr:row>
      <xdr:rowOff>97972</xdr:rowOff>
    </xdr:to>
    <xdr:graphicFrame macro="">
      <xdr:nvGraphicFramePr>
        <xdr:cNvPr id="6" name="Chart 5">
          <a:extLst>
            <a:ext uri="{FF2B5EF4-FFF2-40B4-BE49-F238E27FC236}">
              <a16:creationId xmlns:a16="http://schemas.microsoft.com/office/drawing/2014/main" id="{8E5AE45B-CCCC-2D84-7010-697ED7518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87086</xdr:colOff>
      <xdr:row>0</xdr:row>
      <xdr:rowOff>54429</xdr:rowOff>
    </xdr:from>
    <xdr:to>
      <xdr:col>24</xdr:col>
      <xdr:colOff>500743</xdr:colOff>
      <xdr:row>13</xdr:row>
      <xdr:rowOff>0</xdr:rowOff>
    </xdr:to>
    <xdr:sp macro="" textlink="">
      <xdr:nvSpPr>
        <xdr:cNvPr id="8" name="Rectangle 7">
          <a:extLst>
            <a:ext uri="{FF2B5EF4-FFF2-40B4-BE49-F238E27FC236}">
              <a16:creationId xmlns:a16="http://schemas.microsoft.com/office/drawing/2014/main" id="{69C0B382-8B53-0E63-AC32-20D8806D4A0E}"/>
            </a:ext>
          </a:extLst>
        </xdr:cNvPr>
        <xdr:cNvSpPr/>
      </xdr:nvSpPr>
      <xdr:spPr>
        <a:xfrm>
          <a:off x="7968343" y="54429"/>
          <a:ext cx="8273143" cy="2351314"/>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16</xdr:col>
      <xdr:colOff>43542</xdr:colOff>
      <xdr:row>18</xdr:row>
      <xdr:rowOff>27214</xdr:rowOff>
    </xdr:from>
    <xdr:to>
      <xdr:col>23</xdr:col>
      <xdr:colOff>609599</xdr:colOff>
      <xdr:row>31</xdr:row>
      <xdr:rowOff>141515</xdr:rowOff>
    </xdr:to>
    <xdr:graphicFrame macro="">
      <xdr:nvGraphicFramePr>
        <xdr:cNvPr id="9" name="Chart 8">
          <a:extLst>
            <a:ext uri="{FF2B5EF4-FFF2-40B4-BE49-F238E27FC236}">
              <a16:creationId xmlns:a16="http://schemas.microsoft.com/office/drawing/2014/main" id="{884F2A72-6258-482B-1083-22F036101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97972</xdr:colOff>
      <xdr:row>17</xdr:row>
      <xdr:rowOff>0</xdr:rowOff>
    </xdr:from>
    <xdr:to>
      <xdr:col>24</xdr:col>
      <xdr:colOff>598714</xdr:colOff>
      <xdr:row>33</xdr:row>
      <xdr:rowOff>54428</xdr:rowOff>
    </xdr:to>
    <xdr:sp macro="" textlink="">
      <xdr:nvSpPr>
        <xdr:cNvPr id="10" name="Rectangle 9">
          <a:extLst>
            <a:ext uri="{FF2B5EF4-FFF2-40B4-BE49-F238E27FC236}">
              <a16:creationId xmlns:a16="http://schemas.microsoft.com/office/drawing/2014/main" id="{AAF69A50-EAAA-65C7-B397-0E662814247E}"/>
            </a:ext>
          </a:extLst>
        </xdr:cNvPr>
        <xdr:cNvSpPr/>
      </xdr:nvSpPr>
      <xdr:spPr>
        <a:xfrm>
          <a:off x="7979229" y="3145971"/>
          <a:ext cx="8360228" cy="3015343"/>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10885</xdr:colOff>
      <xdr:row>35</xdr:row>
      <xdr:rowOff>5443</xdr:rowOff>
    </xdr:from>
    <xdr:to>
      <xdr:col>10</xdr:col>
      <xdr:colOff>315685</xdr:colOff>
      <xdr:row>48</xdr:row>
      <xdr:rowOff>43543</xdr:rowOff>
    </xdr:to>
    <xdr:graphicFrame macro="">
      <xdr:nvGraphicFramePr>
        <xdr:cNvPr id="11" name="Chart 10">
          <a:extLst>
            <a:ext uri="{FF2B5EF4-FFF2-40B4-BE49-F238E27FC236}">
              <a16:creationId xmlns:a16="http://schemas.microsoft.com/office/drawing/2014/main" id="{CF337D65-3E43-C005-92DB-343B7D3E5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34</xdr:row>
      <xdr:rowOff>21771</xdr:rowOff>
    </xdr:from>
    <xdr:to>
      <xdr:col>11</xdr:col>
      <xdr:colOff>544285</xdr:colOff>
      <xdr:row>50</xdr:row>
      <xdr:rowOff>0</xdr:rowOff>
    </xdr:to>
    <xdr:sp macro="" textlink="">
      <xdr:nvSpPr>
        <xdr:cNvPr id="12" name="Rectangle 11">
          <a:extLst>
            <a:ext uri="{FF2B5EF4-FFF2-40B4-BE49-F238E27FC236}">
              <a16:creationId xmlns:a16="http://schemas.microsoft.com/office/drawing/2014/main" id="{E45E1691-990A-6C99-5B6F-0FBB2F9E317E}"/>
            </a:ext>
          </a:extLst>
        </xdr:cNvPr>
        <xdr:cNvSpPr/>
      </xdr:nvSpPr>
      <xdr:spPr>
        <a:xfrm>
          <a:off x="0" y="6313714"/>
          <a:ext cx="7794171" cy="2939143"/>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0</xdr:colOff>
      <xdr:row>4</xdr:row>
      <xdr:rowOff>0</xdr:rowOff>
    </xdr:from>
    <xdr:to>
      <xdr:col>29</xdr:col>
      <xdr:colOff>571500</xdr:colOff>
      <xdr:row>5</xdr:row>
      <xdr:rowOff>165463</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9BC53449-A21C-496B-A371-1205A4A24852}"/>
            </a:ext>
          </a:extLst>
        </xdr:cNvPr>
        <xdr:cNvSpPr/>
      </xdr:nvSpPr>
      <xdr:spPr>
        <a:xfrm>
          <a:off x="17547771" y="740229"/>
          <a:ext cx="1790700" cy="35052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DASHBOARD</a:t>
          </a:r>
        </a:p>
      </xdr:txBody>
    </xdr:sp>
    <xdr:clientData/>
  </xdr:twoCellAnchor>
  <xdr:twoCellAnchor>
    <xdr:from>
      <xdr:col>27</xdr:col>
      <xdr:colOff>10886</xdr:colOff>
      <xdr:row>7</xdr:row>
      <xdr:rowOff>21772</xdr:rowOff>
    </xdr:from>
    <xdr:to>
      <xdr:col>29</xdr:col>
      <xdr:colOff>582386</xdr:colOff>
      <xdr:row>9</xdr:row>
      <xdr:rowOff>2178</xdr:rowOff>
    </xdr:to>
    <xdr:sp macro="" textlink="">
      <xdr:nvSpPr>
        <xdr:cNvPr id="13" name="Rectangle 12">
          <a:hlinkClick xmlns:r="http://schemas.openxmlformats.org/officeDocument/2006/relationships" r:id="rId7"/>
          <a:extLst>
            <a:ext uri="{FF2B5EF4-FFF2-40B4-BE49-F238E27FC236}">
              <a16:creationId xmlns:a16="http://schemas.microsoft.com/office/drawing/2014/main" id="{DC1EB1A4-26EF-447F-9590-F69737CFE1C5}"/>
            </a:ext>
          </a:extLst>
        </xdr:cNvPr>
        <xdr:cNvSpPr/>
      </xdr:nvSpPr>
      <xdr:spPr>
        <a:xfrm>
          <a:off x="17558657" y="1317172"/>
          <a:ext cx="1790700" cy="35052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KPI'S</a:t>
          </a:r>
        </a:p>
        <a:p>
          <a:pPr algn="ctr"/>
          <a:endParaRPr lang="en-IN" sz="1600" b="1"/>
        </a:p>
      </xdr:txBody>
    </xdr:sp>
    <xdr:clientData/>
  </xdr:twoCellAnchor>
  <xdr:twoCellAnchor>
    <xdr:from>
      <xdr:col>27</xdr:col>
      <xdr:colOff>21771</xdr:colOff>
      <xdr:row>10</xdr:row>
      <xdr:rowOff>32658</xdr:rowOff>
    </xdr:from>
    <xdr:to>
      <xdr:col>29</xdr:col>
      <xdr:colOff>593271</xdr:colOff>
      <xdr:row>12</xdr:row>
      <xdr:rowOff>13063</xdr:rowOff>
    </xdr:to>
    <xdr:sp macro="" textlink="">
      <xdr:nvSpPr>
        <xdr:cNvPr id="14" name="Rectangle 13">
          <a:hlinkClick xmlns:r="http://schemas.openxmlformats.org/officeDocument/2006/relationships" r:id="rId8"/>
          <a:extLst>
            <a:ext uri="{FF2B5EF4-FFF2-40B4-BE49-F238E27FC236}">
              <a16:creationId xmlns:a16="http://schemas.microsoft.com/office/drawing/2014/main" id="{72FE4DA1-8B77-43EE-AE95-7ED4B14C6128}"/>
            </a:ext>
          </a:extLst>
        </xdr:cNvPr>
        <xdr:cNvSpPr/>
      </xdr:nvSpPr>
      <xdr:spPr>
        <a:xfrm>
          <a:off x="17569542" y="1883229"/>
          <a:ext cx="1790700" cy="35052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 refreshedDate="46154.609430787037" createdVersion="8" refreshedVersion="8" minRefreshableVersion="3" recordCount="1000" xr:uid="{82291410-3981-4DF1-BD71-F53609A41532}">
  <cacheSource type="worksheet">
    <worksheetSource name="E_Commerce_data"/>
  </cacheSource>
  <cacheFields count="16">
    <cacheField name="order_id" numFmtId="0">
      <sharedItems/>
    </cacheField>
    <cacheField name="order_date" numFmtId="14">
      <sharedItems containsSemiMixedTypes="0" containsNonDate="0" containsDate="1" containsString="0" minDate="2024-01-02T00:00:00" maxDate="2026-01-01T00:00:00" count="534">
        <d v="2025-08-07T00:00:00"/>
        <d v="2025-04-29T00:00:00"/>
        <d v="2025-11-05T00:00:00"/>
        <d v="2025-04-23T00:00:00"/>
        <d v="2025-10-23T00:00:00"/>
        <d v="2024-12-13T00:00:00"/>
        <d v="2025-07-03T00:00:00"/>
        <d v="2024-10-12T00:00:00"/>
        <d v="2024-03-18T00:00:00"/>
        <d v="2025-07-17T00:00:00"/>
        <d v="2025-07-07T00:00:00"/>
        <d v="2024-08-30T00:00:00"/>
        <d v="2024-08-06T00:00:00"/>
        <d v="2024-01-03T00:00:00"/>
        <d v="2025-04-10T00:00:00"/>
        <d v="2025-07-23T00:00:00"/>
        <d v="2024-08-10T00:00:00"/>
        <d v="2024-03-03T00:00:00"/>
        <d v="2025-05-03T00:00:00"/>
        <d v="2024-02-28T00:00:00"/>
        <d v="2024-03-11T00:00:00"/>
        <d v="2024-08-28T00:00:00"/>
        <d v="2025-08-06T00:00:00"/>
        <d v="2025-09-26T00:00:00"/>
        <d v="2025-08-01T00:00:00"/>
        <d v="2024-07-28T00:00:00"/>
        <d v="2024-05-14T00:00:00"/>
        <d v="2024-03-15T00:00:00"/>
        <d v="2025-07-30T00:00:00"/>
        <d v="2025-06-02T00:00:00"/>
        <d v="2025-03-24T00:00:00"/>
        <d v="2025-10-31T00:00:00"/>
        <d v="2025-07-21T00:00:00"/>
        <d v="2024-05-17T00:00:00"/>
        <d v="2025-07-20T00:00:00"/>
        <d v="2024-08-03T00:00:00"/>
        <d v="2024-09-27T00:00:00"/>
        <d v="2024-02-22T00:00:00"/>
        <d v="2024-10-10T00:00:00"/>
        <d v="2024-05-13T00:00:00"/>
        <d v="2025-07-18T00:00:00"/>
        <d v="2025-01-13T00:00:00"/>
        <d v="2024-05-10T00:00:00"/>
        <d v="2024-02-10T00:00:00"/>
        <d v="2025-11-13T00:00:00"/>
        <d v="2025-02-20T00:00:00"/>
        <d v="2025-02-26T00:00:00"/>
        <d v="2024-12-06T00:00:00"/>
        <d v="2024-09-11T00:00:00"/>
        <d v="2024-04-20T00:00:00"/>
        <d v="2025-04-26T00:00:00"/>
        <d v="2025-04-16T00:00:00"/>
        <d v="2024-08-21T00:00:00"/>
        <d v="2025-02-12T00:00:00"/>
        <d v="2025-11-26T00:00:00"/>
        <d v="2024-04-28T00:00:00"/>
        <d v="2024-09-28T00:00:00"/>
        <d v="2024-12-19T00:00:00"/>
        <d v="2025-06-07T00:00:00"/>
        <d v="2024-07-13T00:00:00"/>
        <d v="2024-01-02T00:00:00"/>
        <d v="2025-11-17T00:00:00"/>
        <d v="2025-11-11T00:00:00"/>
        <d v="2024-05-07T00:00:00"/>
        <d v="2025-02-22T00:00:00"/>
        <d v="2025-01-23T00:00:00"/>
        <d v="2025-02-19T00:00:00"/>
        <d v="2024-10-20T00:00:00"/>
        <d v="2025-09-13T00:00:00"/>
        <d v="2025-11-22T00:00:00"/>
        <d v="2024-06-22T00:00:00"/>
        <d v="2025-10-10T00:00:00"/>
        <d v="2024-05-30T00:00:00"/>
        <d v="2025-05-01T00:00:00"/>
        <d v="2025-04-11T00:00:00"/>
        <d v="2025-12-14T00:00:00"/>
        <d v="2024-05-31T00:00:00"/>
        <d v="2024-04-19T00:00:00"/>
        <d v="2025-12-13T00:00:00"/>
        <d v="2024-09-12T00:00:00"/>
        <d v="2025-04-20T00:00:00"/>
        <d v="2025-03-29T00:00:00"/>
        <d v="2025-05-31T00:00:00"/>
        <d v="2025-04-01T00:00:00"/>
        <d v="2025-04-05T00:00:00"/>
        <d v="2025-10-14T00:00:00"/>
        <d v="2025-05-11T00:00:00"/>
        <d v="2025-12-31T00:00:00"/>
        <d v="2024-11-23T00:00:00"/>
        <d v="2024-08-24T00:00:00"/>
        <d v="2024-08-07T00:00:00"/>
        <d v="2025-07-09T00:00:00"/>
        <d v="2025-03-06T00:00:00"/>
        <d v="2025-08-12T00:00:00"/>
        <d v="2024-12-26T00:00:00"/>
        <d v="2025-03-05T00:00:00"/>
        <d v="2025-09-09T00:00:00"/>
        <d v="2025-03-22T00:00:00"/>
        <d v="2025-11-15T00:00:00"/>
        <d v="2025-02-07T00:00:00"/>
        <d v="2024-03-26T00:00:00"/>
        <d v="2024-07-05T00:00:00"/>
        <d v="2024-08-04T00:00:00"/>
        <d v="2025-03-07T00:00:00"/>
        <d v="2024-01-20T00:00:00"/>
        <d v="2024-12-24T00:00:00"/>
        <d v="2025-10-29T00:00:00"/>
        <d v="2024-09-10T00:00:00"/>
        <d v="2024-06-05T00:00:00"/>
        <d v="2024-04-27T00:00:00"/>
        <d v="2024-09-19T00:00:00"/>
        <d v="2024-01-27T00:00:00"/>
        <d v="2025-01-19T00:00:00"/>
        <d v="2025-08-29T00:00:00"/>
        <d v="2024-11-04T00:00:00"/>
        <d v="2025-08-02T00:00:00"/>
        <d v="2025-11-08T00:00:00"/>
        <d v="2024-12-15T00:00:00"/>
        <d v="2025-05-16T00:00:00"/>
        <d v="2025-10-12T00:00:00"/>
        <d v="2024-06-29T00:00:00"/>
        <d v="2025-07-05T00:00:00"/>
        <d v="2024-03-29T00:00:00"/>
        <d v="2024-12-10T00:00:00"/>
        <d v="2024-09-21T00:00:00"/>
        <d v="2025-12-19T00:00:00"/>
        <d v="2024-07-14T00:00:00"/>
        <d v="2025-05-15T00:00:00"/>
        <d v="2025-05-02T00:00:00"/>
        <d v="2024-04-05T00:00:00"/>
        <d v="2024-09-06T00:00:00"/>
        <d v="2024-10-04T00:00:00"/>
        <d v="2024-07-16T00:00:00"/>
        <d v="2025-12-07T00:00:00"/>
        <d v="2025-05-10T00:00:00"/>
        <d v="2025-06-21T00:00:00"/>
        <d v="2024-07-17T00:00:00"/>
        <d v="2024-11-05T00:00:00"/>
        <d v="2024-10-07T00:00:00"/>
        <d v="2025-12-15T00:00:00"/>
        <d v="2025-05-17T00:00:00"/>
        <d v="2024-10-18T00:00:00"/>
        <d v="2024-07-07T00:00:00"/>
        <d v="2025-05-04T00:00:00"/>
        <d v="2025-05-18T00:00:00"/>
        <d v="2024-02-24T00:00:00"/>
        <d v="2024-11-07T00:00:00"/>
        <d v="2025-03-02T00:00:00"/>
        <d v="2024-08-19T00:00:00"/>
        <d v="2025-03-15T00:00:00"/>
        <d v="2025-09-16T00:00:00"/>
        <d v="2024-09-02T00:00:00"/>
        <d v="2025-12-24T00:00:00"/>
        <d v="2024-03-13T00:00:00"/>
        <d v="2025-10-02T00:00:00"/>
        <d v="2024-07-21T00:00:00"/>
        <d v="2025-10-25T00:00:00"/>
        <d v="2024-03-14T00:00:00"/>
        <d v="2025-09-01T00:00:00"/>
        <d v="2025-04-24T00:00:00"/>
        <d v="2024-10-05T00:00:00"/>
        <d v="2024-03-23T00:00:00"/>
        <d v="2024-11-26T00:00:00"/>
        <d v="2024-08-22T00:00:00"/>
        <d v="2025-11-19T00:00:00"/>
        <d v="2024-06-28T00:00:00"/>
        <d v="2024-10-11T00:00:00"/>
        <d v="2024-12-07T00:00:00"/>
        <d v="2024-06-13T00:00:00"/>
        <d v="2024-10-22T00:00:00"/>
        <d v="2024-02-07T00:00:00"/>
        <d v="2024-11-27T00:00:00"/>
        <d v="2025-06-10T00:00:00"/>
        <d v="2025-04-18T00:00:00"/>
        <d v="2025-01-05T00:00:00"/>
        <d v="2025-03-28T00:00:00"/>
        <d v="2025-09-15T00:00:00"/>
        <d v="2024-08-18T00:00:00"/>
        <d v="2024-10-25T00:00:00"/>
        <d v="2025-05-09T00:00:00"/>
        <d v="2024-05-28T00:00:00"/>
        <d v="2025-06-04T00:00:00"/>
        <d v="2025-02-28T00:00:00"/>
        <d v="2025-08-24T00:00:00"/>
        <d v="2024-06-01T00:00:00"/>
        <d v="2025-02-24T00:00:00"/>
        <d v="2025-12-23T00:00:00"/>
        <d v="2024-05-09T00:00:00"/>
        <d v="2024-04-12T00:00:00"/>
        <d v="2025-04-12T00:00:00"/>
        <d v="2025-11-01T00:00:00"/>
        <d v="2025-10-27T00:00:00"/>
        <d v="2025-11-21T00:00:00"/>
        <d v="2025-10-03T00:00:00"/>
        <d v="2025-09-24T00:00:00"/>
        <d v="2024-10-21T00:00:00"/>
        <d v="2024-04-10T00:00:00"/>
        <d v="2024-11-02T00:00:00"/>
        <d v="2024-02-27T00:00:00"/>
        <d v="2024-05-29T00:00:00"/>
        <d v="2025-11-29T00:00:00"/>
        <d v="2025-05-24T00:00:00"/>
        <d v="2025-10-15T00:00:00"/>
        <d v="2024-01-10T00:00:00"/>
        <d v="2024-06-10T00:00:00"/>
        <d v="2024-07-22T00:00:00"/>
        <d v="2024-10-29T00:00:00"/>
        <d v="2025-12-03T00:00:00"/>
        <d v="2024-08-12T00:00:00"/>
        <d v="2025-11-06T00:00:00"/>
        <d v="2025-10-04T00:00:00"/>
        <d v="2024-02-04T00:00:00"/>
        <d v="2024-04-02T00:00:00"/>
        <d v="2025-01-09T00:00:00"/>
        <d v="2024-06-17T00:00:00"/>
        <d v="2025-11-23T00:00:00"/>
        <d v="2025-04-27T00:00:00"/>
        <d v="2025-07-28T00:00:00"/>
        <d v="2024-03-05T00:00:00"/>
        <d v="2024-02-08T00:00:00"/>
        <d v="2025-01-14T00:00:00"/>
        <d v="2024-06-07T00:00:00"/>
        <d v="2024-10-13T00:00:00"/>
        <d v="2025-03-30T00:00:00"/>
        <d v="2024-04-11T00:00:00"/>
        <d v="2025-10-22T00:00:00"/>
        <d v="2024-04-03T00:00:00"/>
        <d v="2024-01-22T00:00:00"/>
        <d v="2024-05-08T00:00:00"/>
        <d v="2024-08-26T00:00:00"/>
        <d v="2025-09-02T00:00:00"/>
        <d v="2024-06-27T00:00:00"/>
        <d v="2024-08-31T00:00:00"/>
        <d v="2025-06-22T00:00:00"/>
        <d v="2025-04-04T00:00:00"/>
        <d v="2025-04-07T00:00:00"/>
        <d v="2024-02-14T00:00:00"/>
        <d v="2024-02-01T00:00:00"/>
        <d v="2025-03-12T00:00:00"/>
        <d v="2025-01-25T00:00:00"/>
        <d v="2025-06-01T00:00:00"/>
        <d v="2025-03-13T00:00:00"/>
        <d v="2024-03-28T00:00:00"/>
        <d v="2025-01-16T00:00:00"/>
        <d v="2025-07-29T00:00:00"/>
        <d v="2025-03-09T00:00:00"/>
        <d v="2025-07-24T00:00:00"/>
        <d v="2025-12-11T00:00:00"/>
        <d v="2025-12-20T00:00:00"/>
        <d v="2024-07-04T00:00:00"/>
        <d v="2024-03-12T00:00:00"/>
        <d v="2025-01-20T00:00:00"/>
        <d v="2025-08-04T00:00:00"/>
        <d v="2024-06-08T00:00:00"/>
        <d v="2025-03-10T00:00:00"/>
        <d v="2024-10-06T00:00:00"/>
        <d v="2025-11-25T00:00:00"/>
        <d v="2024-11-11T00:00:00"/>
        <d v="2025-09-05T00:00:00"/>
        <d v="2024-12-01T00:00:00"/>
        <d v="2025-03-16T00:00:00"/>
        <d v="2025-12-21T00:00:00"/>
        <d v="2024-02-13T00:00:00"/>
        <d v="2024-03-20T00:00:00"/>
        <d v="2025-02-18T00:00:00"/>
        <d v="2024-03-21T00:00:00"/>
        <d v="2024-03-19T00:00:00"/>
        <d v="2025-06-06T00:00:00"/>
        <d v="2025-11-02T00:00:00"/>
        <d v="2025-10-05T00:00:00"/>
        <d v="2025-08-16T00:00:00"/>
        <d v="2025-04-25T00:00:00"/>
        <d v="2024-10-08T00:00:00"/>
        <d v="2024-03-16T00:00:00"/>
        <d v="2025-01-28T00:00:00"/>
        <d v="2024-02-12T00:00:00"/>
        <d v="2024-07-11T00:00:00"/>
        <d v="2024-06-03T00:00:00"/>
        <d v="2024-12-17T00:00:00"/>
        <d v="2025-03-25T00:00:00"/>
        <d v="2025-01-07T00:00:00"/>
        <d v="2024-12-12T00:00:00"/>
        <d v="2025-10-24T00:00:00"/>
        <d v="2025-07-25T00:00:00"/>
        <d v="2025-11-03T00:00:00"/>
        <d v="2024-03-24T00:00:00"/>
        <d v="2025-02-05T00:00:00"/>
        <d v="2024-03-27T00:00:00"/>
        <d v="2024-12-02T00:00:00"/>
        <d v="2025-12-02T00:00:00"/>
        <d v="2024-11-12T00:00:00"/>
        <d v="2025-05-12T00:00:00"/>
        <d v="2024-04-13T00:00:00"/>
        <d v="2025-06-23T00:00:00"/>
        <d v="2024-06-15T00:00:00"/>
        <d v="2025-10-01T00:00:00"/>
        <d v="2025-01-26T00:00:00"/>
        <d v="2024-06-14T00:00:00"/>
        <d v="2024-09-13T00:00:00"/>
        <d v="2025-01-15T00:00:00"/>
        <d v="2025-06-12T00:00:00"/>
        <d v="2024-08-15T00:00:00"/>
        <d v="2024-08-29T00:00:00"/>
        <d v="2024-01-29T00:00:00"/>
        <d v="2024-02-09T00:00:00"/>
        <d v="2024-05-22T00:00:00"/>
        <d v="2024-03-22T00:00:00"/>
        <d v="2024-06-02T00:00:00"/>
        <d v="2025-10-16T00:00:00"/>
        <d v="2025-05-26T00:00:00"/>
        <d v="2025-06-11T00:00:00"/>
        <d v="2024-09-03T00:00:00"/>
        <d v="2024-03-10T00:00:00"/>
        <d v="2025-06-03T00:00:00"/>
        <d v="2025-01-17T00:00:00"/>
        <d v="2024-05-18T00:00:00"/>
        <d v="2025-04-13T00:00:00"/>
        <d v="2024-07-23T00:00:00"/>
        <d v="2024-09-16T00:00:00"/>
        <d v="2024-10-19T00:00:00"/>
        <d v="2025-01-11T00:00:00"/>
        <d v="2025-01-30T00:00:00"/>
        <d v="2024-03-25T00:00:00"/>
        <d v="2024-07-03T00:00:00"/>
        <d v="2024-12-27T00:00:00"/>
        <d v="2024-06-12T00:00:00"/>
        <d v="2025-08-03T00:00:00"/>
        <d v="2025-02-11T00:00:00"/>
        <d v="2024-04-26T00:00:00"/>
        <d v="2025-06-14T00:00:00"/>
        <d v="2024-09-23T00:00:00"/>
        <d v="2025-03-31T00:00:00"/>
        <d v="2025-12-29T00:00:00"/>
        <d v="2024-08-17T00:00:00"/>
        <d v="2025-08-09T00:00:00"/>
        <d v="2024-03-08T00:00:00"/>
        <d v="2025-05-05T00:00:00"/>
        <d v="2025-08-11T00:00:00"/>
        <d v="2025-10-19T00:00:00"/>
        <d v="2025-06-13T00:00:00"/>
        <d v="2024-05-12T00:00:00"/>
        <d v="2024-02-26T00:00:00"/>
        <d v="2025-09-21T00:00:00"/>
        <d v="2024-06-21T00:00:00"/>
        <d v="2024-12-11T00:00:00"/>
        <d v="2024-01-30T00:00:00"/>
        <d v="2025-08-13T00:00:00"/>
        <d v="2025-08-08T00:00:00"/>
        <d v="2025-12-06T00:00:00"/>
        <d v="2024-05-27T00:00:00"/>
        <d v="2025-04-22T00:00:00"/>
        <d v="2024-05-24T00:00:00"/>
        <d v="2024-02-21T00:00:00"/>
        <d v="2025-04-06T00:00:00"/>
        <d v="2025-09-30T00:00:00"/>
        <d v="2024-04-09T00:00:00"/>
        <d v="2024-02-11T00:00:00"/>
        <d v="2025-09-12T00:00:00"/>
        <d v="2025-09-19T00:00:00"/>
        <d v="2025-09-23T00:00:00"/>
        <d v="2025-06-05T00:00:00"/>
        <d v="2024-12-05T00:00:00"/>
        <d v="2025-12-05T00:00:00"/>
        <d v="2025-10-06T00:00:00"/>
        <d v="2025-12-18T00:00:00"/>
        <d v="2024-11-17T00:00:00"/>
        <d v="2024-07-27T00:00:00"/>
        <d v="2024-07-31T00:00:00"/>
        <d v="2024-06-26T00:00:00"/>
        <d v="2024-12-28T00:00:00"/>
        <d v="2024-09-09T00:00:00"/>
        <d v="2024-10-31T00:00:00"/>
        <d v="2025-12-22T00:00:00"/>
        <d v="2025-07-27T00:00:00"/>
        <d v="2025-02-08T00:00:00"/>
        <d v="2024-10-24T00:00:00"/>
        <d v="2024-04-21T00:00:00"/>
        <d v="2024-09-05T00:00:00"/>
        <d v="2024-12-04T00:00:00"/>
        <d v="2024-05-20T00:00:00"/>
        <d v="2024-04-01T00:00:00"/>
        <d v="2025-05-22T00:00:00"/>
        <d v="2024-10-23T00:00:00"/>
        <d v="2025-10-18T00:00:00"/>
        <d v="2024-04-25T00:00:00"/>
        <d v="2025-02-14T00:00:00"/>
        <d v="2025-01-27T00:00:00"/>
        <d v="2024-12-03T00:00:00"/>
        <d v="2024-01-12T00:00:00"/>
        <d v="2024-11-10T00:00:00"/>
        <d v="2024-05-16T00:00:00"/>
        <d v="2024-08-11T00:00:00"/>
        <d v="2025-07-14T00:00:00"/>
        <d v="2025-08-20T00:00:00"/>
        <d v="2025-03-01T00:00:00"/>
        <d v="2024-09-17T00:00:00"/>
        <d v="2024-03-06T00:00:00"/>
        <d v="2025-01-21T00:00:00"/>
        <d v="2024-12-22T00:00:00"/>
        <d v="2025-02-06T00:00:00"/>
        <d v="2024-08-16T00:00:00"/>
        <d v="2024-11-01T00:00:00"/>
        <d v="2024-07-12T00:00:00"/>
        <d v="2024-01-17T00:00:00"/>
        <d v="2025-08-31T00:00:00"/>
        <d v="2025-02-15T00:00:00"/>
        <d v="2024-08-27T00:00:00"/>
        <d v="2024-05-26T00:00:00"/>
        <d v="2024-12-18T00:00:00"/>
        <d v="2025-07-02T00:00:00"/>
        <d v="2025-11-20T00:00:00"/>
        <d v="2025-11-18T00:00:00"/>
        <d v="2024-10-16T00:00:00"/>
        <d v="2025-01-02T00:00:00"/>
        <d v="2025-02-27T00:00:00"/>
        <d v="2025-08-21T00:00:00"/>
        <d v="2024-03-01T00:00:00"/>
        <d v="2024-03-17T00:00:00"/>
        <d v="2024-03-02T00:00:00"/>
        <d v="2024-01-07T00:00:00"/>
        <d v="2024-01-18T00:00:00"/>
        <d v="2024-07-02T00:00:00"/>
        <d v="2025-03-20T00:00:00"/>
        <d v="2024-04-07T00:00:00"/>
        <d v="2025-12-09T00:00:00"/>
        <d v="2024-02-03T00:00:00"/>
        <d v="2025-12-30T00:00:00"/>
        <d v="2025-07-31T00:00:00"/>
        <d v="2025-02-02T00:00:00"/>
        <d v="2024-05-23T00:00:00"/>
        <d v="2024-12-20T00:00:00"/>
        <d v="2025-10-11T00:00:00"/>
        <d v="2025-11-07T00:00:00"/>
        <d v="2024-10-01T00:00:00"/>
        <d v="2025-01-04T00:00:00"/>
        <d v="2024-04-14T00:00:00"/>
        <d v="2024-04-15T00:00:00"/>
        <d v="2025-01-29T00:00:00"/>
        <d v="2024-06-20T00:00:00"/>
        <d v="2025-02-09T00:00:00"/>
        <d v="2025-10-28T00:00:00"/>
        <d v="2024-11-29T00:00:00"/>
        <d v="2025-12-26T00:00:00"/>
        <d v="2025-12-10T00:00:00"/>
        <d v="2024-09-04T00:00:00"/>
        <d v="2025-09-04T00:00:00"/>
        <d v="2025-01-03T00:00:00"/>
        <d v="2024-02-15T00:00:00"/>
        <d v="2025-02-13T00:00:00"/>
        <d v="2024-01-11T00:00:00"/>
        <d v="2025-06-15T00:00:00"/>
        <d v="2024-08-14T00:00:00"/>
        <d v="2024-05-25T00:00:00"/>
        <d v="2024-07-30T00:00:00"/>
        <d v="2024-11-22T00:00:00"/>
        <d v="2025-12-28T00:00:00"/>
        <d v="2024-08-25T00:00:00"/>
        <d v="2025-10-17T00:00:00"/>
        <d v="2025-09-20T00:00:00"/>
        <d v="2025-02-01T00:00:00"/>
        <d v="2024-06-25T00:00:00"/>
        <d v="2024-11-08T00:00:00"/>
        <d v="2024-05-21T00:00:00"/>
        <d v="2025-05-13T00:00:00"/>
        <d v="2025-01-10T00:00:00"/>
        <d v="2025-03-27T00:00:00"/>
        <d v="2024-03-30T00:00:00"/>
        <d v="2025-10-09T00:00:00"/>
        <d v="2024-12-25T00:00:00"/>
        <d v="2025-02-25T00:00:00"/>
        <d v="2024-11-25T00:00:00"/>
        <d v="2024-10-02T00:00:00"/>
        <d v="2025-01-01T00:00:00"/>
        <d v="2024-02-17T00:00:00"/>
        <d v="2025-04-15T00:00:00"/>
        <d v="2025-03-14T00:00:00"/>
        <d v="2024-06-18T00:00:00"/>
        <d v="2025-12-17T00:00:00"/>
        <d v="2025-11-27T00:00:00"/>
        <d v="2024-05-15T00:00:00"/>
        <d v="2024-01-09T00:00:00"/>
        <d v="2024-05-06T00:00:00"/>
        <d v="2025-09-06T00:00:00"/>
        <d v="2025-12-08T00:00:00"/>
        <d v="2024-01-13T00:00:00"/>
        <d v="2025-08-05T00:00:00"/>
        <d v="2025-07-04T00:00:00"/>
        <d v="2024-11-13T00:00:00"/>
        <d v="2024-09-01T00:00:00"/>
        <d v="2024-12-21T00:00:00"/>
        <d v="2024-09-22T00:00:00"/>
        <d v="2024-12-09T00:00:00"/>
        <d v="2024-09-26T00:00:00"/>
        <d v="2024-02-06T00:00:00"/>
        <d v="2024-02-23T00:00:00"/>
        <d v="2024-07-19T00:00:00"/>
        <d v="2025-07-08T00:00:00"/>
        <d v="2025-03-21T00:00:00"/>
        <d v="2024-11-18T00:00:00"/>
        <d v="2024-11-30T00:00:00"/>
        <d v="2024-12-30T00:00:00"/>
        <d v="2024-07-10T00:00:00"/>
        <d v="2024-09-08T00:00:00"/>
        <d v="2025-07-10T00:00:00"/>
        <d v="2024-10-03T00:00:00"/>
        <d v="2024-02-29T00:00:00"/>
        <d v="2025-05-19T00:00:00"/>
        <d v="2024-12-14T00:00:00"/>
        <d v="2025-11-09T00:00:00"/>
        <d v="2025-03-23T00:00:00"/>
        <d v="2025-12-25T00:00:00"/>
        <d v="2024-10-28T00:00:00"/>
        <d v="2025-09-18T00:00:00"/>
        <d v="2025-05-23T00:00:00"/>
        <d v="2024-03-31T00:00:00"/>
        <d v="2024-08-02T00:00:00"/>
        <d v="2024-06-19T00:00:00"/>
        <d v="2024-04-17T00:00:00"/>
        <d v="2025-02-23T00:00:00"/>
        <d v="2025-07-16T00:00:00"/>
        <d v="2024-01-04T00:00:00"/>
        <d v="2024-07-08T00:00:00"/>
        <d v="2024-03-04T00:00:00"/>
        <d v="2025-06-19T00:00:00"/>
        <d v="2025-05-29T00:00:00"/>
        <d v="2025-11-24T00:00:00"/>
        <d v="2025-11-30T00:00:00"/>
        <d v="2025-02-10T00:00:00"/>
        <d v="2025-06-16T00:00:00"/>
        <d v="2025-02-16T00:00:00"/>
        <d v="2024-11-06T00:00:00"/>
        <d v="2024-11-03T00:00:00"/>
        <d v="2025-04-30T00:00:00"/>
        <d v="2024-06-16T00:00:00"/>
      </sharedItems>
    </cacheField>
    <cacheField name="month" numFmtId="14">
      <sharedItems count="23">
        <s v="Aug"/>
        <s v="Apr"/>
        <s v="Nov"/>
        <s v="Oct"/>
        <s v="Dec"/>
        <s v="Jul"/>
        <s v="Mar"/>
        <s v="Jan"/>
        <s v="May"/>
        <s v="Feb"/>
        <s v="Sep"/>
        <s v="Jun"/>
        <s v="August" u="1"/>
        <s v="April" u="1"/>
        <s v="November" u="1"/>
        <s v="October" u="1"/>
        <s v="December" u="1"/>
        <s v="July" u="1"/>
        <s v="March" u="1"/>
        <s v="January" u="1"/>
        <s v="February" u="1"/>
        <s v="September" u="1"/>
        <s v="June" u="1"/>
      </sharedItems>
    </cacheField>
    <cacheField name="customer_id" numFmtId="0">
      <sharedItems/>
    </cacheField>
    <cacheField name="customer_name" numFmtId="0">
      <sharedItems count="100">
        <s v="Customer 72"/>
        <s v="Customer 37"/>
        <s v="Customer 85"/>
        <s v="Customer 86"/>
        <s v="Customer 16"/>
        <s v="Customer 54"/>
        <s v="Customer 6"/>
        <s v="Customer 88"/>
        <s v="Customer 100"/>
        <s v="Customer 56"/>
        <s v="Customer 47"/>
        <s v="Customer 46"/>
        <s v="Customer 36"/>
        <s v="Customer 35"/>
        <s v="Customer 59"/>
        <s v="Customer 44"/>
        <s v="Customer 91"/>
        <s v="Customer 4"/>
        <s v="Customer 52"/>
        <s v="Customer 5"/>
        <s v="Customer 74"/>
        <s v="Customer 63"/>
        <s v="Customer 92"/>
        <s v="Customer 28"/>
        <s v="Customer 49"/>
        <s v="Customer 66"/>
        <s v="Customer 3"/>
        <s v="Customer 90"/>
        <s v="Customer 58"/>
        <s v="Customer 21"/>
        <s v="Customer 9"/>
        <s v="Customer 12"/>
        <s v="Customer 39"/>
        <s v="Customer 20"/>
        <s v="Customer 24"/>
        <s v="Customer 15"/>
        <s v="Customer 61"/>
        <s v="Customer 26"/>
        <s v="Customer 55"/>
        <s v="Customer 11"/>
        <s v="Customer 10"/>
        <s v="Customer 41"/>
        <s v="Customer 45"/>
        <s v="Customer 32"/>
        <s v="Customer 68"/>
        <s v="Customer 87"/>
        <s v="Customer 34"/>
        <s v="Customer 67"/>
        <s v="Customer 8"/>
        <s v="Customer 27"/>
        <s v="Customer 62"/>
        <s v="Customer 98"/>
        <s v="Customer 2"/>
        <s v="Customer 18"/>
        <s v="Customer 31"/>
        <s v="Customer 1"/>
        <s v="Customer 7"/>
        <s v="Customer 84"/>
        <s v="Customer 38"/>
        <s v="Customer 22"/>
        <s v="Customer 64"/>
        <s v="Customer 57"/>
        <s v="Customer 14"/>
        <s v="Customer 40"/>
        <s v="Customer 82"/>
        <s v="Customer 43"/>
        <s v="Customer 79"/>
        <s v="Customer 71"/>
        <s v="Customer 65"/>
        <s v="Customer 78"/>
        <s v="Customer 99"/>
        <s v="Customer 13"/>
        <s v="Customer 17"/>
        <s v="Customer 73"/>
        <s v="Customer 60"/>
        <s v="Customer 30"/>
        <s v="Customer 89"/>
        <s v="Customer 42"/>
        <s v="Customer 94"/>
        <s v="Customer 23"/>
        <s v="Customer 80"/>
        <s v="Customer 96"/>
        <s v="Customer 25"/>
        <s v="Customer 19"/>
        <s v="Customer 97"/>
        <s v="Customer 29"/>
        <s v="Customer 93"/>
        <s v="Customer 77"/>
        <s v="Customer 48"/>
        <s v="Customer 53"/>
        <s v="Customer 51"/>
        <s v="Customer 76"/>
        <s v="Customer 70"/>
        <s v="Customer 50"/>
        <s v="Customer 69"/>
        <s v="Customer 83"/>
        <s v="Customer 75"/>
        <s v="Customer 95"/>
        <s v="Customer 81"/>
        <s v="Customer 33"/>
      </sharedItems>
    </cacheField>
    <cacheField name="city" numFmtId="0">
      <sharedItems/>
    </cacheField>
    <cacheField name="region" numFmtId="0">
      <sharedItems count="4">
        <s v="South"/>
        <s v="West"/>
        <s v="East"/>
        <s v="North"/>
      </sharedItems>
    </cacheField>
    <cacheField name="signup_date" numFmtId="14">
      <sharedItems containsSemiMixedTypes="0" containsNonDate="0" containsDate="1" containsString="0" minDate="2023-01-26T00:00:00" maxDate="2025-01-01T00:00:00"/>
    </cacheField>
    <cacheField name="product_id" numFmtId="0">
      <sharedItems/>
    </cacheField>
    <cacheField name="product_name" numFmtId="0">
      <sharedItems count="15">
        <s v="Pen Set"/>
        <s v="Headphones"/>
        <s v="Laptop"/>
        <s v="Printer Paper"/>
        <s v="Desk"/>
        <s v="Chair"/>
        <s v="Folder"/>
        <s v="Table"/>
        <s v="Keyboard"/>
        <s v="Bookshelf"/>
        <s v="Mouse"/>
        <s v="Notebook"/>
        <s v="Sofa"/>
        <s v="Monitor"/>
        <s v="Stapler"/>
      </sharedItems>
    </cacheField>
    <cacheField name="category" numFmtId="0">
      <sharedItems count="3">
        <s v="Office Supplies"/>
        <s v="Electronics"/>
        <s v="Furniture"/>
      </sharedItems>
    </cacheField>
    <cacheField name="unit_price" numFmtId="0">
      <sharedItems containsSemiMixedTypes="0" containsString="0" containsNumber="1" minValue="3589.32" maxValue="45275.73"/>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2"/>
    </cacheField>
    <cacheField name="sales" numFmtId="0">
      <sharedItems containsSemiMixedTypes="0" containsString="0" containsNumber="1" minValue="2876.88" maxValue="226378.65"/>
    </cacheField>
    <cacheField name="profit" numFmtId="0">
      <sharedItems containsSemiMixedTypes="0" containsString="0" containsNumber="1" minValue="170.62" maxValue="79226.27"/>
    </cacheField>
  </cacheFields>
  <extLst>
    <ext xmlns:x14="http://schemas.microsoft.com/office/spreadsheetml/2009/9/main" uri="{725AE2AE-9491-48be-B2B4-4EB974FC3084}">
      <x14:pivotCacheDefinition pivotCacheId="750641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0001"/>
    <x v="0"/>
    <x v="0"/>
    <s v="C072"/>
    <x v="0"/>
    <s v="Hyderabad"/>
    <x v="0"/>
    <d v="2024-03-21T00:00:00"/>
    <s v="P012"/>
    <x v="0"/>
    <x v="0"/>
    <n v="3589.32"/>
    <n v="2"/>
    <n v="0.15"/>
    <n v="6101.84"/>
    <n v="2017.6"/>
  </r>
  <r>
    <s v="O0002"/>
    <x v="1"/>
    <x v="1"/>
    <s v="C037"/>
    <x v="1"/>
    <s v="Hyderabad"/>
    <x v="0"/>
    <d v="2024-12-19T00:00:00"/>
    <s v="P002"/>
    <x v="1"/>
    <x v="1"/>
    <n v="11273.63"/>
    <n v="5"/>
    <n v="0.05"/>
    <n v="53549.74"/>
    <n v="6581.22"/>
  </r>
  <r>
    <s v="O0003"/>
    <x v="2"/>
    <x v="2"/>
    <s v="C085"/>
    <x v="2"/>
    <s v="Pune"/>
    <x v="1"/>
    <d v="2023-11-11T00:00:00"/>
    <s v="P002"/>
    <x v="1"/>
    <x v="1"/>
    <n v="11273.63"/>
    <n v="4"/>
    <n v="0"/>
    <n v="45094.52"/>
    <n v="3530.8"/>
  </r>
  <r>
    <s v="O0004"/>
    <x v="3"/>
    <x v="1"/>
    <s v="C086"/>
    <x v="3"/>
    <s v="Kolkata"/>
    <x v="2"/>
    <d v="2023-03-01T00:00:00"/>
    <s v="P001"/>
    <x v="2"/>
    <x v="1"/>
    <n v="6094.16"/>
    <n v="4"/>
    <n v="0"/>
    <n v="24376.639999999999"/>
    <n v="4316.46"/>
  </r>
  <r>
    <s v="O0005"/>
    <x v="4"/>
    <x v="3"/>
    <s v="C072"/>
    <x v="0"/>
    <s v="Hyderabad"/>
    <x v="0"/>
    <d v="2024-03-21T00:00:00"/>
    <s v="P013"/>
    <x v="3"/>
    <x v="0"/>
    <n v="11938.33"/>
    <n v="1"/>
    <n v="0.15"/>
    <n v="10147.58"/>
    <n v="2496.6799999999998"/>
  </r>
  <r>
    <s v="O0006"/>
    <x v="5"/>
    <x v="4"/>
    <s v="C016"/>
    <x v="4"/>
    <s v="Noida"/>
    <x v="3"/>
    <d v="2023-12-15T00:00:00"/>
    <s v="P007"/>
    <x v="4"/>
    <x v="2"/>
    <n v="3596.1"/>
    <n v="1"/>
    <n v="0"/>
    <n v="3596.1"/>
    <n v="614.16"/>
  </r>
  <r>
    <s v="O0007"/>
    <x v="6"/>
    <x v="5"/>
    <s v="C054"/>
    <x v="5"/>
    <s v="Chennai"/>
    <x v="0"/>
    <d v="2023-09-27T00:00:00"/>
    <s v="P006"/>
    <x v="5"/>
    <x v="2"/>
    <n v="11049.86"/>
    <n v="1"/>
    <n v="0"/>
    <n v="11049.86"/>
    <n v="1187.6099999999999"/>
  </r>
  <r>
    <s v="O0008"/>
    <x v="7"/>
    <x v="3"/>
    <s v="C006"/>
    <x v="6"/>
    <s v="Jaipur"/>
    <x v="3"/>
    <d v="2024-03-08T00:00:00"/>
    <s v="P015"/>
    <x v="6"/>
    <x v="0"/>
    <n v="10751.13"/>
    <n v="4"/>
    <n v="0"/>
    <n v="43004.52"/>
    <n v="7593.07"/>
  </r>
  <r>
    <s v="O0009"/>
    <x v="8"/>
    <x v="6"/>
    <s v="C016"/>
    <x v="4"/>
    <s v="Noida"/>
    <x v="3"/>
    <d v="2023-12-15T00:00:00"/>
    <s v="P012"/>
    <x v="0"/>
    <x v="0"/>
    <n v="3589.32"/>
    <n v="4"/>
    <n v="0"/>
    <n v="14357.28"/>
    <n v="4484.4399999999996"/>
  </r>
  <r>
    <s v="O0010"/>
    <x v="9"/>
    <x v="5"/>
    <s v="C088"/>
    <x v="7"/>
    <s v="Mumbai"/>
    <x v="1"/>
    <d v="2023-03-29T00:00:00"/>
    <s v="P012"/>
    <x v="0"/>
    <x v="0"/>
    <n v="3589.32"/>
    <n v="4"/>
    <n v="0.2"/>
    <n v="11485.82"/>
    <n v="3542.28"/>
  </r>
  <r>
    <s v="O0011"/>
    <x v="10"/>
    <x v="5"/>
    <s v="C016"/>
    <x v="4"/>
    <s v="Noida"/>
    <x v="3"/>
    <d v="2023-12-15T00:00:00"/>
    <s v="P007"/>
    <x v="4"/>
    <x v="2"/>
    <n v="3596.1"/>
    <n v="1"/>
    <n v="0"/>
    <n v="3596.1"/>
    <n v="883.36"/>
  </r>
  <r>
    <s v="O0012"/>
    <x v="11"/>
    <x v="0"/>
    <s v="C100"/>
    <x v="8"/>
    <s v="Chennai"/>
    <x v="0"/>
    <d v="2024-04-07T00:00:00"/>
    <s v="P007"/>
    <x v="4"/>
    <x v="2"/>
    <n v="3596.1"/>
    <n v="1"/>
    <n v="0"/>
    <n v="3596.1"/>
    <n v="1179.2"/>
  </r>
  <r>
    <s v="O0013"/>
    <x v="12"/>
    <x v="0"/>
    <s v="C056"/>
    <x v="9"/>
    <s v="Jaipur"/>
    <x v="3"/>
    <d v="2024-02-13T00:00:00"/>
    <s v="P010"/>
    <x v="7"/>
    <x v="2"/>
    <n v="45275.73"/>
    <n v="2"/>
    <n v="0.05"/>
    <n v="86023.89"/>
    <n v="16834.22"/>
  </r>
  <r>
    <s v="O0014"/>
    <x v="13"/>
    <x v="7"/>
    <s v="C047"/>
    <x v="10"/>
    <s v="Hyderabad"/>
    <x v="0"/>
    <d v="2023-03-09T00:00:00"/>
    <s v="P004"/>
    <x v="8"/>
    <x v="1"/>
    <n v="29436.02"/>
    <n v="4"/>
    <n v="0"/>
    <n v="117744.08"/>
    <n v="11702.72"/>
  </r>
  <r>
    <s v="O0015"/>
    <x v="14"/>
    <x v="1"/>
    <s v="C046"/>
    <x v="11"/>
    <s v="Pune"/>
    <x v="1"/>
    <d v="2024-02-15T00:00:00"/>
    <s v="P008"/>
    <x v="9"/>
    <x v="2"/>
    <n v="31573.59"/>
    <n v="4"/>
    <n v="0"/>
    <n v="126294.36"/>
    <n v="41418.92"/>
  </r>
  <r>
    <s v="O0016"/>
    <x v="15"/>
    <x v="5"/>
    <s v="C036"/>
    <x v="12"/>
    <s v="Kolkata"/>
    <x v="2"/>
    <d v="2024-11-17T00:00:00"/>
    <s v="P010"/>
    <x v="7"/>
    <x v="2"/>
    <n v="45275.73"/>
    <n v="3"/>
    <n v="0.05"/>
    <n v="129035.83"/>
    <n v="33417.370000000003"/>
  </r>
  <r>
    <s v="O0017"/>
    <x v="16"/>
    <x v="0"/>
    <s v="C035"/>
    <x v="13"/>
    <s v="Pune"/>
    <x v="1"/>
    <d v="2023-12-30T00:00:00"/>
    <s v="P003"/>
    <x v="10"/>
    <x v="1"/>
    <n v="16937.37"/>
    <n v="4"/>
    <n v="0"/>
    <n v="67749.48"/>
    <n v="7247.12"/>
  </r>
  <r>
    <s v="O0018"/>
    <x v="17"/>
    <x v="6"/>
    <s v="C059"/>
    <x v="14"/>
    <s v="Gurugram"/>
    <x v="3"/>
    <d v="2023-04-04T00:00:00"/>
    <s v="P012"/>
    <x v="0"/>
    <x v="0"/>
    <n v="3589.32"/>
    <n v="1"/>
    <n v="0.1"/>
    <n v="3230.39"/>
    <n v="874.53"/>
  </r>
  <r>
    <s v="O0019"/>
    <x v="18"/>
    <x v="8"/>
    <s v="C044"/>
    <x v="15"/>
    <s v="Pune"/>
    <x v="1"/>
    <d v="2023-02-27T00:00:00"/>
    <s v="P010"/>
    <x v="7"/>
    <x v="2"/>
    <n v="45275.73"/>
    <n v="3"/>
    <n v="0"/>
    <n v="135827.19"/>
    <n v="8834.57"/>
  </r>
  <r>
    <s v="O0020"/>
    <x v="19"/>
    <x v="9"/>
    <s v="C091"/>
    <x v="16"/>
    <s v="Bengaluru"/>
    <x v="0"/>
    <d v="2024-11-06T00:00:00"/>
    <s v="P002"/>
    <x v="1"/>
    <x v="1"/>
    <n v="11273.63"/>
    <n v="5"/>
    <n v="0.2"/>
    <n v="45094.52"/>
    <n v="9439.99"/>
  </r>
  <r>
    <s v="O0021"/>
    <x v="20"/>
    <x v="6"/>
    <s v="C004"/>
    <x v="17"/>
    <s v="Mumbai"/>
    <x v="1"/>
    <d v="2024-11-23T00:00:00"/>
    <s v="P010"/>
    <x v="7"/>
    <x v="2"/>
    <n v="45275.73"/>
    <n v="5"/>
    <n v="0"/>
    <n v="226378.65"/>
    <n v="69136.67"/>
  </r>
  <r>
    <s v="O0022"/>
    <x v="21"/>
    <x v="0"/>
    <s v="C052"/>
    <x v="18"/>
    <s v="Hyderabad"/>
    <x v="0"/>
    <d v="2023-05-23T00:00:00"/>
    <s v="P001"/>
    <x v="2"/>
    <x v="1"/>
    <n v="6094.16"/>
    <n v="5"/>
    <n v="0"/>
    <n v="30470.799999999999"/>
    <n v="7695.82"/>
  </r>
  <r>
    <s v="O0023"/>
    <x v="22"/>
    <x v="0"/>
    <s v="C035"/>
    <x v="13"/>
    <s v="Pune"/>
    <x v="1"/>
    <d v="2023-12-30T00:00:00"/>
    <s v="P008"/>
    <x v="9"/>
    <x v="2"/>
    <n v="31573.59"/>
    <n v="4"/>
    <n v="0"/>
    <n v="126294.36"/>
    <n v="41990.2"/>
  </r>
  <r>
    <s v="O0024"/>
    <x v="23"/>
    <x v="10"/>
    <s v="C005"/>
    <x v="19"/>
    <s v="Chennai"/>
    <x v="0"/>
    <d v="2023-03-31T00:00:00"/>
    <s v="P007"/>
    <x v="4"/>
    <x v="2"/>
    <n v="3596.1"/>
    <n v="2"/>
    <n v="0.1"/>
    <n v="6472.98"/>
    <n v="1478.14"/>
  </r>
  <r>
    <s v="O0025"/>
    <x v="24"/>
    <x v="0"/>
    <s v="C074"/>
    <x v="20"/>
    <s v="Delhi"/>
    <x v="3"/>
    <d v="2023-09-27T00:00:00"/>
    <s v="P010"/>
    <x v="7"/>
    <x v="2"/>
    <n v="45275.73"/>
    <n v="1"/>
    <n v="0.05"/>
    <n v="43011.94"/>
    <n v="10633.07"/>
  </r>
  <r>
    <s v="O0026"/>
    <x v="25"/>
    <x v="5"/>
    <s v="C063"/>
    <x v="21"/>
    <s v="Noida"/>
    <x v="3"/>
    <d v="2024-09-02T00:00:00"/>
    <s v="P011"/>
    <x v="11"/>
    <x v="0"/>
    <n v="42988.79"/>
    <n v="5"/>
    <n v="0"/>
    <n v="214943.95"/>
    <n v="71020.03"/>
  </r>
  <r>
    <s v="O0027"/>
    <x v="26"/>
    <x v="8"/>
    <s v="C092"/>
    <x v="22"/>
    <s v="Gurugram"/>
    <x v="3"/>
    <d v="2024-07-16T00:00:00"/>
    <s v="P011"/>
    <x v="11"/>
    <x v="0"/>
    <n v="42988.79"/>
    <n v="3"/>
    <n v="0"/>
    <n v="128966.37"/>
    <n v="16724.919999999998"/>
  </r>
  <r>
    <s v="O0028"/>
    <x v="27"/>
    <x v="6"/>
    <s v="C028"/>
    <x v="23"/>
    <s v="Jaipur"/>
    <x v="3"/>
    <d v="2023-07-16T00:00:00"/>
    <s v="P007"/>
    <x v="4"/>
    <x v="2"/>
    <n v="3596.1"/>
    <n v="3"/>
    <n v="0.05"/>
    <n v="10248.879999999999"/>
    <n v="1484.58"/>
  </r>
  <r>
    <s v="O0029"/>
    <x v="28"/>
    <x v="5"/>
    <s v="C049"/>
    <x v="24"/>
    <s v="Pune"/>
    <x v="1"/>
    <d v="2023-08-06T00:00:00"/>
    <s v="P009"/>
    <x v="12"/>
    <x v="2"/>
    <n v="11485.64"/>
    <n v="1"/>
    <n v="0.05"/>
    <n v="10911.36"/>
    <n v="2578.88"/>
  </r>
  <r>
    <s v="O0030"/>
    <x v="29"/>
    <x v="11"/>
    <s v="C066"/>
    <x v="25"/>
    <s v="Gurugram"/>
    <x v="3"/>
    <d v="2024-06-25T00:00:00"/>
    <s v="P006"/>
    <x v="5"/>
    <x v="2"/>
    <n v="11049.86"/>
    <n v="1"/>
    <n v="0"/>
    <n v="11049.86"/>
    <n v="2334.73"/>
  </r>
  <r>
    <s v="O0031"/>
    <x v="20"/>
    <x v="6"/>
    <s v="C003"/>
    <x v="26"/>
    <s v="Kolkata"/>
    <x v="2"/>
    <d v="2023-05-23T00:00:00"/>
    <s v="P006"/>
    <x v="5"/>
    <x v="2"/>
    <n v="11049.86"/>
    <n v="3"/>
    <n v="0"/>
    <n v="33149.58"/>
    <n v="10938.63"/>
  </r>
  <r>
    <s v="O0032"/>
    <x v="30"/>
    <x v="6"/>
    <s v="C090"/>
    <x v="27"/>
    <s v="Chennai"/>
    <x v="0"/>
    <d v="2023-05-09T00:00:00"/>
    <s v="P005"/>
    <x v="13"/>
    <x v="1"/>
    <n v="11544.23"/>
    <n v="2"/>
    <n v="0"/>
    <n v="23088.46"/>
    <n v="3128.4"/>
  </r>
  <r>
    <s v="O0033"/>
    <x v="31"/>
    <x v="3"/>
    <s v="C058"/>
    <x v="28"/>
    <s v="Bengaluru"/>
    <x v="0"/>
    <d v="2024-06-05T00:00:00"/>
    <s v="P015"/>
    <x v="6"/>
    <x v="0"/>
    <n v="10751.13"/>
    <n v="5"/>
    <n v="0.15"/>
    <n v="45692.3"/>
    <n v="6431.43"/>
  </r>
  <r>
    <s v="O0034"/>
    <x v="32"/>
    <x v="5"/>
    <s v="C021"/>
    <x v="29"/>
    <s v="Pune"/>
    <x v="1"/>
    <d v="2023-12-19T00:00:00"/>
    <s v="P015"/>
    <x v="6"/>
    <x v="0"/>
    <n v="10751.13"/>
    <n v="5"/>
    <n v="0"/>
    <n v="53755.65"/>
    <n v="13458.21"/>
  </r>
  <r>
    <s v="O0035"/>
    <x v="33"/>
    <x v="8"/>
    <s v="C009"/>
    <x v="30"/>
    <s v="Kolkata"/>
    <x v="2"/>
    <d v="2024-06-01T00:00:00"/>
    <s v="P015"/>
    <x v="6"/>
    <x v="0"/>
    <n v="10751.13"/>
    <n v="3"/>
    <n v="0.15"/>
    <n v="27415.38"/>
    <n v="2222.73"/>
  </r>
  <r>
    <s v="O0036"/>
    <x v="34"/>
    <x v="5"/>
    <s v="C012"/>
    <x v="31"/>
    <s v="Chennai"/>
    <x v="0"/>
    <d v="2024-03-05T00:00:00"/>
    <s v="P005"/>
    <x v="13"/>
    <x v="1"/>
    <n v="11544.23"/>
    <n v="3"/>
    <n v="0"/>
    <n v="34632.69"/>
    <n v="10975.58"/>
  </r>
  <r>
    <s v="O0037"/>
    <x v="35"/>
    <x v="0"/>
    <s v="C039"/>
    <x v="32"/>
    <s v="Bengaluru"/>
    <x v="0"/>
    <d v="2024-06-30T00:00:00"/>
    <s v="P013"/>
    <x v="3"/>
    <x v="0"/>
    <n v="11938.33"/>
    <n v="2"/>
    <n v="0"/>
    <n v="23876.66"/>
    <n v="3212.05"/>
  </r>
  <r>
    <s v="O0038"/>
    <x v="36"/>
    <x v="10"/>
    <s v="C020"/>
    <x v="33"/>
    <s v="Noida"/>
    <x v="3"/>
    <d v="2023-04-10T00:00:00"/>
    <s v="P010"/>
    <x v="7"/>
    <x v="2"/>
    <n v="45275.73"/>
    <n v="3"/>
    <n v="0"/>
    <n v="135827.19"/>
    <n v="34805.599999999999"/>
  </r>
  <r>
    <s v="O0039"/>
    <x v="37"/>
    <x v="9"/>
    <s v="C005"/>
    <x v="19"/>
    <s v="Chennai"/>
    <x v="0"/>
    <d v="2023-03-31T00:00:00"/>
    <s v="P005"/>
    <x v="13"/>
    <x v="1"/>
    <n v="11544.23"/>
    <n v="5"/>
    <n v="0.05"/>
    <n v="54835.09"/>
    <n v="6872.83"/>
  </r>
  <r>
    <s v="O0040"/>
    <x v="38"/>
    <x v="3"/>
    <s v="C047"/>
    <x v="10"/>
    <s v="Hyderabad"/>
    <x v="0"/>
    <d v="2023-03-09T00:00:00"/>
    <s v="P004"/>
    <x v="8"/>
    <x v="1"/>
    <n v="29436.02"/>
    <n v="1"/>
    <n v="0.15"/>
    <n v="25020.62"/>
    <n v="4430.47"/>
  </r>
  <r>
    <s v="O0041"/>
    <x v="39"/>
    <x v="8"/>
    <s v="C092"/>
    <x v="22"/>
    <s v="Gurugram"/>
    <x v="3"/>
    <d v="2024-07-16T00:00:00"/>
    <s v="P004"/>
    <x v="8"/>
    <x v="1"/>
    <n v="29436.02"/>
    <n v="1"/>
    <n v="0"/>
    <n v="29436.02"/>
    <n v="4417.37"/>
  </r>
  <r>
    <s v="O0042"/>
    <x v="40"/>
    <x v="5"/>
    <s v="C024"/>
    <x v="34"/>
    <s v="Chennai"/>
    <x v="0"/>
    <d v="2023-05-08T00:00:00"/>
    <s v="P003"/>
    <x v="10"/>
    <x v="1"/>
    <n v="16937.37"/>
    <n v="3"/>
    <n v="0"/>
    <n v="50812.11"/>
    <n v="13839.66"/>
  </r>
  <r>
    <s v="O0043"/>
    <x v="8"/>
    <x v="6"/>
    <s v="C015"/>
    <x v="35"/>
    <s v="Delhi"/>
    <x v="3"/>
    <d v="2023-06-13T00:00:00"/>
    <s v="P009"/>
    <x v="12"/>
    <x v="2"/>
    <n v="11485.64"/>
    <n v="4"/>
    <n v="0.1"/>
    <n v="41348.300000000003"/>
    <n v="2187.36"/>
  </r>
  <r>
    <s v="O0044"/>
    <x v="41"/>
    <x v="7"/>
    <s v="C061"/>
    <x v="36"/>
    <s v="Bengaluru"/>
    <x v="0"/>
    <d v="2024-10-04T00:00:00"/>
    <s v="P006"/>
    <x v="5"/>
    <x v="2"/>
    <n v="11049.86"/>
    <n v="2"/>
    <n v="0.1"/>
    <n v="19889.75"/>
    <n v="1209.46"/>
  </r>
  <r>
    <s v="O0045"/>
    <x v="42"/>
    <x v="8"/>
    <s v="C026"/>
    <x v="37"/>
    <s v="Chennai"/>
    <x v="0"/>
    <d v="2023-10-28T00:00:00"/>
    <s v="P014"/>
    <x v="14"/>
    <x v="0"/>
    <n v="33465.440000000002"/>
    <n v="5"/>
    <n v="0.1"/>
    <n v="150594.48000000001"/>
    <n v="14220.36"/>
  </r>
  <r>
    <s v="O0046"/>
    <x v="43"/>
    <x v="9"/>
    <s v="C055"/>
    <x v="38"/>
    <s v="Jaipur"/>
    <x v="3"/>
    <d v="2024-03-14T00:00:00"/>
    <s v="P012"/>
    <x v="0"/>
    <x v="0"/>
    <n v="3589.32"/>
    <n v="1"/>
    <n v="0"/>
    <n v="3589.32"/>
    <n v="572.12"/>
  </r>
  <r>
    <s v="O0047"/>
    <x v="44"/>
    <x v="2"/>
    <s v="C063"/>
    <x v="21"/>
    <s v="Noida"/>
    <x v="3"/>
    <d v="2024-09-02T00:00:00"/>
    <s v="P010"/>
    <x v="7"/>
    <x v="2"/>
    <n v="45275.73"/>
    <n v="3"/>
    <n v="0"/>
    <n v="135827.19"/>
    <n v="34584.32"/>
  </r>
  <r>
    <s v="O0048"/>
    <x v="45"/>
    <x v="9"/>
    <s v="C088"/>
    <x v="7"/>
    <s v="Mumbai"/>
    <x v="1"/>
    <d v="2023-03-29T00:00:00"/>
    <s v="P002"/>
    <x v="1"/>
    <x v="1"/>
    <n v="11273.63"/>
    <n v="1"/>
    <n v="0"/>
    <n v="11273.63"/>
    <n v="3202.1"/>
  </r>
  <r>
    <s v="O0049"/>
    <x v="11"/>
    <x v="0"/>
    <s v="C011"/>
    <x v="39"/>
    <s v="Chennai"/>
    <x v="0"/>
    <d v="2023-07-23T00:00:00"/>
    <s v="P010"/>
    <x v="7"/>
    <x v="2"/>
    <n v="45275.73"/>
    <n v="5"/>
    <n v="0.15"/>
    <n v="192421.85"/>
    <n v="18542.919999999998"/>
  </r>
  <r>
    <s v="O0050"/>
    <x v="46"/>
    <x v="9"/>
    <s v="C010"/>
    <x v="40"/>
    <s v="Jaipur"/>
    <x v="3"/>
    <d v="2023-01-28T00:00:00"/>
    <s v="P004"/>
    <x v="8"/>
    <x v="1"/>
    <n v="29436.02"/>
    <n v="2"/>
    <n v="0.2"/>
    <n v="47097.63"/>
    <n v="13810.51"/>
  </r>
  <r>
    <s v="O0051"/>
    <x v="47"/>
    <x v="4"/>
    <s v="C041"/>
    <x v="41"/>
    <s v="Gurugram"/>
    <x v="3"/>
    <d v="2024-01-24T00:00:00"/>
    <s v="P005"/>
    <x v="13"/>
    <x v="1"/>
    <n v="11544.23"/>
    <n v="1"/>
    <n v="0"/>
    <n v="11544.23"/>
    <n v="3128.13"/>
  </r>
  <r>
    <s v="O0052"/>
    <x v="48"/>
    <x v="10"/>
    <s v="C045"/>
    <x v="42"/>
    <s v="Kolkata"/>
    <x v="2"/>
    <d v="2023-02-02T00:00:00"/>
    <s v="P010"/>
    <x v="7"/>
    <x v="2"/>
    <n v="45275.73"/>
    <n v="4"/>
    <n v="0.2"/>
    <n v="144882.34"/>
    <n v="36361.43"/>
  </r>
  <r>
    <s v="O0053"/>
    <x v="49"/>
    <x v="1"/>
    <s v="C032"/>
    <x v="43"/>
    <s v="Mumbai"/>
    <x v="1"/>
    <d v="2024-01-25T00:00:00"/>
    <s v="P007"/>
    <x v="4"/>
    <x v="2"/>
    <n v="3596.1"/>
    <n v="3"/>
    <n v="0"/>
    <n v="10788.3"/>
    <n v="3087.74"/>
  </r>
  <r>
    <s v="O0054"/>
    <x v="50"/>
    <x v="1"/>
    <s v="C068"/>
    <x v="44"/>
    <s v="Delhi"/>
    <x v="3"/>
    <d v="2024-11-27T00:00:00"/>
    <s v="P005"/>
    <x v="13"/>
    <x v="1"/>
    <n v="11544.23"/>
    <n v="4"/>
    <n v="0.2"/>
    <n v="36941.54"/>
    <n v="2276.2399999999998"/>
  </r>
  <r>
    <s v="O0055"/>
    <x v="51"/>
    <x v="1"/>
    <s v="C087"/>
    <x v="45"/>
    <s v="Kolkata"/>
    <x v="2"/>
    <d v="2024-08-03T00:00:00"/>
    <s v="P010"/>
    <x v="7"/>
    <x v="2"/>
    <n v="45275.73"/>
    <n v="2"/>
    <n v="0"/>
    <n v="90551.46"/>
    <n v="26710.51"/>
  </r>
  <r>
    <s v="O0056"/>
    <x v="52"/>
    <x v="0"/>
    <s v="C004"/>
    <x v="17"/>
    <s v="Mumbai"/>
    <x v="1"/>
    <d v="2024-11-23T00:00:00"/>
    <s v="P012"/>
    <x v="0"/>
    <x v="0"/>
    <n v="3589.32"/>
    <n v="3"/>
    <n v="0"/>
    <n v="10767.96"/>
    <n v="3189.05"/>
  </r>
  <r>
    <s v="O0057"/>
    <x v="53"/>
    <x v="9"/>
    <s v="C063"/>
    <x v="21"/>
    <s v="Noida"/>
    <x v="3"/>
    <d v="2024-09-02T00:00:00"/>
    <s v="P001"/>
    <x v="2"/>
    <x v="1"/>
    <n v="6094.16"/>
    <n v="2"/>
    <n v="0"/>
    <n v="12188.32"/>
    <n v="3022.82"/>
  </r>
  <r>
    <s v="O0058"/>
    <x v="7"/>
    <x v="3"/>
    <s v="C034"/>
    <x v="46"/>
    <s v="Pune"/>
    <x v="1"/>
    <d v="2023-06-16T00:00:00"/>
    <s v="P013"/>
    <x v="3"/>
    <x v="0"/>
    <n v="11938.33"/>
    <n v="3"/>
    <n v="0"/>
    <n v="35814.99"/>
    <n v="11077.79"/>
  </r>
  <r>
    <s v="O0059"/>
    <x v="54"/>
    <x v="2"/>
    <s v="C056"/>
    <x v="9"/>
    <s v="Jaipur"/>
    <x v="3"/>
    <d v="2024-02-13T00:00:00"/>
    <s v="P002"/>
    <x v="1"/>
    <x v="1"/>
    <n v="11273.63"/>
    <n v="3"/>
    <n v="0.15"/>
    <n v="28747.759999999998"/>
    <n v="5830.67"/>
  </r>
  <r>
    <s v="O0060"/>
    <x v="55"/>
    <x v="1"/>
    <s v="C067"/>
    <x v="47"/>
    <s v="Hyderabad"/>
    <x v="0"/>
    <d v="2024-07-20T00:00:00"/>
    <s v="P011"/>
    <x v="11"/>
    <x v="0"/>
    <n v="42988.79"/>
    <n v="5"/>
    <n v="0"/>
    <n v="214943.95"/>
    <n v="71312.2"/>
  </r>
  <r>
    <s v="O0061"/>
    <x v="56"/>
    <x v="10"/>
    <s v="C008"/>
    <x v="48"/>
    <s v="Mumbai"/>
    <x v="1"/>
    <d v="2023-08-12T00:00:00"/>
    <s v="P006"/>
    <x v="5"/>
    <x v="2"/>
    <n v="11049.86"/>
    <n v="3"/>
    <n v="0"/>
    <n v="33149.58"/>
    <n v="7431.37"/>
  </r>
  <r>
    <s v="O0062"/>
    <x v="57"/>
    <x v="4"/>
    <s v="C061"/>
    <x v="36"/>
    <s v="Bengaluru"/>
    <x v="0"/>
    <d v="2024-10-04T00:00:00"/>
    <s v="P008"/>
    <x v="9"/>
    <x v="2"/>
    <n v="31573.59"/>
    <n v="1"/>
    <n v="0"/>
    <n v="31573.59"/>
    <n v="7229.45"/>
  </r>
  <r>
    <s v="O0063"/>
    <x v="58"/>
    <x v="11"/>
    <s v="C027"/>
    <x v="49"/>
    <s v="Jaipur"/>
    <x v="3"/>
    <d v="2024-01-06T00:00:00"/>
    <s v="P015"/>
    <x v="6"/>
    <x v="0"/>
    <n v="10751.13"/>
    <n v="3"/>
    <n v="0.05"/>
    <n v="30640.720000000001"/>
    <n v="7104.44"/>
  </r>
  <r>
    <s v="O0064"/>
    <x v="59"/>
    <x v="5"/>
    <s v="C067"/>
    <x v="47"/>
    <s v="Hyderabad"/>
    <x v="0"/>
    <d v="2024-07-20T00:00:00"/>
    <s v="P005"/>
    <x v="13"/>
    <x v="1"/>
    <n v="11544.23"/>
    <n v="1"/>
    <n v="0.05"/>
    <n v="10967.02"/>
    <n v="3507.82"/>
  </r>
  <r>
    <s v="O0065"/>
    <x v="60"/>
    <x v="7"/>
    <s v="C062"/>
    <x v="50"/>
    <s v="Bengaluru"/>
    <x v="0"/>
    <d v="2024-11-27T00:00:00"/>
    <s v="P015"/>
    <x v="6"/>
    <x v="0"/>
    <n v="10751.13"/>
    <n v="3"/>
    <n v="0"/>
    <n v="32253.39"/>
    <n v="8470.89"/>
  </r>
  <r>
    <s v="O0066"/>
    <x v="61"/>
    <x v="2"/>
    <s v="C098"/>
    <x v="51"/>
    <s v="Hyderabad"/>
    <x v="0"/>
    <d v="2024-02-13T00:00:00"/>
    <s v="P005"/>
    <x v="13"/>
    <x v="1"/>
    <n v="11544.23"/>
    <n v="5"/>
    <n v="0.2"/>
    <n v="46176.92"/>
    <n v="9768.06"/>
  </r>
  <r>
    <s v="O0067"/>
    <x v="62"/>
    <x v="2"/>
    <s v="C054"/>
    <x v="5"/>
    <s v="Chennai"/>
    <x v="0"/>
    <d v="2023-09-27T00:00:00"/>
    <s v="P002"/>
    <x v="1"/>
    <x v="1"/>
    <n v="11273.63"/>
    <n v="2"/>
    <n v="0"/>
    <n v="22547.26"/>
    <n v="4044.74"/>
  </r>
  <r>
    <s v="O0068"/>
    <x v="63"/>
    <x v="8"/>
    <s v="C002"/>
    <x v="52"/>
    <s v="Hyderabad"/>
    <x v="0"/>
    <d v="2023-09-08T00:00:00"/>
    <s v="P009"/>
    <x v="12"/>
    <x v="2"/>
    <n v="11485.64"/>
    <n v="3"/>
    <n v="0.1"/>
    <n v="31011.23"/>
    <n v="4471.03"/>
  </r>
  <r>
    <s v="O0069"/>
    <x v="64"/>
    <x v="9"/>
    <s v="C062"/>
    <x v="50"/>
    <s v="Bengaluru"/>
    <x v="0"/>
    <d v="2024-11-27T00:00:00"/>
    <s v="P002"/>
    <x v="1"/>
    <x v="1"/>
    <n v="11273.63"/>
    <n v="3"/>
    <n v="0.1"/>
    <n v="30438.799999999999"/>
    <n v="4346.22"/>
  </r>
  <r>
    <s v="O0070"/>
    <x v="32"/>
    <x v="5"/>
    <s v="C018"/>
    <x v="53"/>
    <s v="Kolkata"/>
    <x v="2"/>
    <d v="2023-12-11T00:00:00"/>
    <s v="P015"/>
    <x v="6"/>
    <x v="0"/>
    <n v="10751.13"/>
    <n v="3"/>
    <n v="0.05"/>
    <n v="30640.720000000001"/>
    <n v="7940.93"/>
  </r>
  <r>
    <s v="O0071"/>
    <x v="65"/>
    <x v="7"/>
    <s v="C031"/>
    <x v="54"/>
    <s v="Mumbai"/>
    <x v="1"/>
    <d v="2023-08-27T00:00:00"/>
    <s v="P012"/>
    <x v="0"/>
    <x v="0"/>
    <n v="3589.32"/>
    <n v="2"/>
    <n v="0"/>
    <n v="7178.64"/>
    <n v="1264.4000000000001"/>
  </r>
  <r>
    <s v="O0072"/>
    <x v="66"/>
    <x v="9"/>
    <s v="C001"/>
    <x v="55"/>
    <s v="Mumbai"/>
    <x v="1"/>
    <d v="2023-01-26T00:00:00"/>
    <s v="P010"/>
    <x v="7"/>
    <x v="2"/>
    <n v="45275.73"/>
    <n v="2"/>
    <n v="0.1"/>
    <n v="81496.31"/>
    <n v="17988.810000000001"/>
  </r>
  <r>
    <s v="O0073"/>
    <x v="67"/>
    <x v="3"/>
    <s v="C007"/>
    <x v="56"/>
    <s v="Delhi"/>
    <x v="3"/>
    <d v="2023-01-31T00:00:00"/>
    <s v="P013"/>
    <x v="3"/>
    <x v="0"/>
    <n v="11938.33"/>
    <n v="5"/>
    <n v="0.2"/>
    <n v="47753.32"/>
    <n v="2393.48"/>
  </r>
  <r>
    <s v="O0074"/>
    <x v="68"/>
    <x v="10"/>
    <s v="C056"/>
    <x v="9"/>
    <s v="Jaipur"/>
    <x v="3"/>
    <d v="2024-02-13T00:00:00"/>
    <s v="P009"/>
    <x v="12"/>
    <x v="2"/>
    <n v="11485.64"/>
    <n v="2"/>
    <n v="0.05"/>
    <n v="21822.720000000001"/>
    <n v="6235.35"/>
  </r>
  <r>
    <s v="O0075"/>
    <x v="69"/>
    <x v="2"/>
    <s v="C084"/>
    <x v="57"/>
    <s v="Delhi"/>
    <x v="3"/>
    <d v="2023-04-25T00:00:00"/>
    <s v="P001"/>
    <x v="2"/>
    <x v="1"/>
    <n v="6094.16"/>
    <n v="3"/>
    <n v="0.05"/>
    <n v="17368.36"/>
    <n v="3170.35"/>
  </r>
  <r>
    <s v="O0076"/>
    <x v="70"/>
    <x v="11"/>
    <s v="C009"/>
    <x v="30"/>
    <s v="Kolkata"/>
    <x v="2"/>
    <d v="2024-06-01T00:00:00"/>
    <s v="P003"/>
    <x v="10"/>
    <x v="1"/>
    <n v="16937.37"/>
    <n v="2"/>
    <n v="0.1"/>
    <n v="30487.27"/>
    <n v="5852.21"/>
  </r>
  <r>
    <s v="O0077"/>
    <x v="71"/>
    <x v="3"/>
    <s v="C038"/>
    <x v="58"/>
    <s v="Mumbai"/>
    <x v="1"/>
    <d v="2024-09-15T00:00:00"/>
    <s v="P002"/>
    <x v="1"/>
    <x v="1"/>
    <n v="11273.63"/>
    <n v="1"/>
    <n v="0"/>
    <n v="11273.63"/>
    <n v="2306.9899999999998"/>
  </r>
  <r>
    <s v="O0078"/>
    <x v="21"/>
    <x v="0"/>
    <s v="C022"/>
    <x v="59"/>
    <s v="Jaipur"/>
    <x v="3"/>
    <d v="2023-09-28T00:00:00"/>
    <s v="P012"/>
    <x v="0"/>
    <x v="0"/>
    <n v="3589.32"/>
    <n v="5"/>
    <n v="0"/>
    <n v="17946.599999999999"/>
    <n v="1400.12"/>
  </r>
  <r>
    <s v="O0079"/>
    <x v="72"/>
    <x v="8"/>
    <s v="C087"/>
    <x v="45"/>
    <s v="Kolkata"/>
    <x v="2"/>
    <d v="2024-08-03T00:00:00"/>
    <s v="P012"/>
    <x v="0"/>
    <x v="0"/>
    <n v="3589.32"/>
    <n v="3"/>
    <n v="0"/>
    <n v="10767.96"/>
    <n v="3143.91"/>
  </r>
  <r>
    <s v="O0080"/>
    <x v="73"/>
    <x v="8"/>
    <s v="C068"/>
    <x v="44"/>
    <s v="Delhi"/>
    <x v="3"/>
    <d v="2024-11-27T00:00:00"/>
    <s v="P005"/>
    <x v="13"/>
    <x v="1"/>
    <n v="11544.23"/>
    <n v="1"/>
    <n v="0"/>
    <n v="11544.23"/>
    <n v="1425.17"/>
  </r>
  <r>
    <s v="O0081"/>
    <x v="74"/>
    <x v="1"/>
    <s v="C092"/>
    <x v="22"/>
    <s v="Gurugram"/>
    <x v="3"/>
    <d v="2024-07-16T00:00:00"/>
    <s v="P015"/>
    <x v="6"/>
    <x v="0"/>
    <n v="10751.13"/>
    <n v="5"/>
    <n v="0.2"/>
    <n v="43004.52"/>
    <n v="12064.78"/>
  </r>
  <r>
    <s v="O0082"/>
    <x v="75"/>
    <x v="4"/>
    <s v="C064"/>
    <x v="60"/>
    <s v="Mumbai"/>
    <x v="1"/>
    <d v="2024-01-30T00:00:00"/>
    <s v="P002"/>
    <x v="1"/>
    <x v="1"/>
    <n v="11273.63"/>
    <n v="4"/>
    <n v="0.15"/>
    <n v="38330.339999999997"/>
    <n v="8536.2199999999993"/>
  </r>
  <r>
    <s v="O0083"/>
    <x v="76"/>
    <x v="8"/>
    <s v="C057"/>
    <x v="61"/>
    <s v="Pune"/>
    <x v="1"/>
    <d v="2023-08-13T00:00:00"/>
    <s v="P015"/>
    <x v="6"/>
    <x v="0"/>
    <n v="10751.13"/>
    <n v="4"/>
    <n v="0.05"/>
    <n v="40854.29"/>
    <n v="6940.97"/>
  </r>
  <r>
    <s v="O0084"/>
    <x v="77"/>
    <x v="1"/>
    <s v="C014"/>
    <x v="62"/>
    <s v="Jaipur"/>
    <x v="3"/>
    <d v="2023-10-12T00:00:00"/>
    <s v="P010"/>
    <x v="7"/>
    <x v="2"/>
    <n v="45275.73"/>
    <n v="1"/>
    <n v="0.2"/>
    <n v="36220.58"/>
    <n v="11160.73"/>
  </r>
  <r>
    <s v="O0085"/>
    <x v="78"/>
    <x v="4"/>
    <s v="C045"/>
    <x v="42"/>
    <s v="Kolkata"/>
    <x v="2"/>
    <d v="2023-02-02T00:00:00"/>
    <s v="P008"/>
    <x v="9"/>
    <x v="2"/>
    <n v="31573.59"/>
    <n v="4"/>
    <n v="0"/>
    <n v="126294.36"/>
    <n v="12978.77"/>
  </r>
  <r>
    <s v="O0086"/>
    <x v="79"/>
    <x v="10"/>
    <s v="C006"/>
    <x v="6"/>
    <s v="Jaipur"/>
    <x v="3"/>
    <d v="2024-03-08T00:00:00"/>
    <s v="P011"/>
    <x v="11"/>
    <x v="0"/>
    <n v="42988.79"/>
    <n v="5"/>
    <n v="0.05"/>
    <n v="204196.75"/>
    <n v="13286.17"/>
  </r>
  <r>
    <s v="O0087"/>
    <x v="80"/>
    <x v="1"/>
    <s v="C040"/>
    <x v="63"/>
    <s v="Kolkata"/>
    <x v="2"/>
    <d v="2023-06-17T00:00:00"/>
    <s v="P014"/>
    <x v="14"/>
    <x v="0"/>
    <n v="33465.440000000002"/>
    <n v="1"/>
    <n v="0.05"/>
    <n v="31792.17"/>
    <n v="2861.35"/>
  </r>
  <r>
    <s v="O0088"/>
    <x v="81"/>
    <x v="6"/>
    <s v="C066"/>
    <x v="25"/>
    <s v="Gurugram"/>
    <x v="3"/>
    <d v="2024-06-25T00:00:00"/>
    <s v="P008"/>
    <x v="9"/>
    <x v="2"/>
    <n v="31573.59"/>
    <n v="5"/>
    <n v="0.1"/>
    <n v="142081.16"/>
    <n v="32484.82"/>
  </r>
  <r>
    <s v="O0089"/>
    <x v="82"/>
    <x v="8"/>
    <s v="C100"/>
    <x v="8"/>
    <s v="Chennai"/>
    <x v="0"/>
    <d v="2024-04-07T00:00:00"/>
    <s v="P005"/>
    <x v="13"/>
    <x v="1"/>
    <n v="11544.23"/>
    <n v="5"/>
    <n v="0.2"/>
    <n v="46176.92"/>
    <n v="12273"/>
  </r>
  <r>
    <s v="O0090"/>
    <x v="83"/>
    <x v="1"/>
    <s v="C082"/>
    <x v="64"/>
    <s v="Delhi"/>
    <x v="3"/>
    <d v="2024-09-05T00:00:00"/>
    <s v="P010"/>
    <x v="7"/>
    <x v="2"/>
    <n v="45275.73"/>
    <n v="4"/>
    <n v="0.2"/>
    <n v="144882.34"/>
    <n v="46660.29"/>
  </r>
  <r>
    <s v="O0091"/>
    <x v="84"/>
    <x v="1"/>
    <s v="C010"/>
    <x v="40"/>
    <s v="Jaipur"/>
    <x v="3"/>
    <d v="2023-01-28T00:00:00"/>
    <s v="P004"/>
    <x v="8"/>
    <x v="1"/>
    <n v="29436.02"/>
    <n v="2"/>
    <n v="0.15"/>
    <n v="50041.23"/>
    <n v="15435.14"/>
  </r>
  <r>
    <s v="O0092"/>
    <x v="85"/>
    <x v="3"/>
    <s v="C058"/>
    <x v="28"/>
    <s v="Bengaluru"/>
    <x v="0"/>
    <d v="2024-06-05T00:00:00"/>
    <s v="P002"/>
    <x v="1"/>
    <x v="1"/>
    <n v="11273.63"/>
    <n v="3"/>
    <n v="0.2"/>
    <n v="27056.71"/>
    <n v="3359.68"/>
  </r>
  <r>
    <s v="O0093"/>
    <x v="86"/>
    <x v="8"/>
    <s v="C045"/>
    <x v="42"/>
    <s v="Kolkata"/>
    <x v="2"/>
    <d v="2023-02-02T00:00:00"/>
    <s v="P010"/>
    <x v="7"/>
    <x v="2"/>
    <n v="45275.73"/>
    <n v="3"/>
    <n v="0.2"/>
    <n v="108661.75"/>
    <n v="30784.14"/>
  </r>
  <r>
    <s v="O0094"/>
    <x v="87"/>
    <x v="4"/>
    <s v="C003"/>
    <x v="26"/>
    <s v="Kolkata"/>
    <x v="2"/>
    <d v="2023-05-23T00:00:00"/>
    <s v="P001"/>
    <x v="2"/>
    <x v="1"/>
    <n v="6094.16"/>
    <n v="2"/>
    <n v="0"/>
    <n v="12188.32"/>
    <n v="2217.81"/>
  </r>
  <r>
    <s v="O0095"/>
    <x v="88"/>
    <x v="2"/>
    <s v="C011"/>
    <x v="39"/>
    <s v="Chennai"/>
    <x v="0"/>
    <d v="2023-07-23T00:00:00"/>
    <s v="P008"/>
    <x v="9"/>
    <x v="2"/>
    <n v="31573.59"/>
    <n v="3"/>
    <n v="0"/>
    <n v="94720.77"/>
    <n v="12457.16"/>
  </r>
  <r>
    <s v="O0096"/>
    <x v="89"/>
    <x v="0"/>
    <s v="C003"/>
    <x v="26"/>
    <s v="Kolkata"/>
    <x v="2"/>
    <d v="2023-05-23T00:00:00"/>
    <s v="P015"/>
    <x v="6"/>
    <x v="0"/>
    <n v="10751.13"/>
    <n v="5"/>
    <n v="0"/>
    <n v="53755.65"/>
    <n v="4919.3"/>
  </r>
  <r>
    <s v="O0097"/>
    <x v="90"/>
    <x v="0"/>
    <s v="C043"/>
    <x v="65"/>
    <s v="Chennai"/>
    <x v="0"/>
    <d v="2023-08-13T00:00:00"/>
    <s v="P002"/>
    <x v="1"/>
    <x v="1"/>
    <n v="11273.63"/>
    <n v="4"/>
    <n v="0.15"/>
    <n v="38330.339999999997"/>
    <n v="3673.64"/>
  </r>
  <r>
    <s v="O0098"/>
    <x v="91"/>
    <x v="5"/>
    <s v="C036"/>
    <x v="12"/>
    <s v="Kolkata"/>
    <x v="2"/>
    <d v="2024-11-17T00:00:00"/>
    <s v="P011"/>
    <x v="11"/>
    <x v="0"/>
    <n v="42988.79"/>
    <n v="1"/>
    <n v="0.05"/>
    <n v="40839.35"/>
    <n v="7035.8"/>
  </r>
  <r>
    <s v="O0099"/>
    <x v="92"/>
    <x v="6"/>
    <s v="C041"/>
    <x v="41"/>
    <s v="Gurugram"/>
    <x v="3"/>
    <d v="2024-01-24T00:00:00"/>
    <s v="P015"/>
    <x v="6"/>
    <x v="0"/>
    <n v="10751.13"/>
    <n v="4"/>
    <n v="0.05"/>
    <n v="40854.29"/>
    <n v="2805.86"/>
  </r>
  <r>
    <s v="O0100"/>
    <x v="78"/>
    <x v="4"/>
    <s v="C004"/>
    <x v="17"/>
    <s v="Mumbai"/>
    <x v="1"/>
    <d v="2024-11-23T00:00:00"/>
    <s v="P003"/>
    <x v="10"/>
    <x v="1"/>
    <n v="16937.37"/>
    <n v="4"/>
    <n v="0.2"/>
    <n v="54199.58"/>
    <n v="12207.04"/>
  </r>
  <r>
    <s v="O0101"/>
    <x v="93"/>
    <x v="0"/>
    <s v="C001"/>
    <x v="55"/>
    <s v="Mumbai"/>
    <x v="1"/>
    <d v="2023-01-26T00:00:00"/>
    <s v="P009"/>
    <x v="12"/>
    <x v="2"/>
    <n v="11485.64"/>
    <n v="1"/>
    <n v="0.2"/>
    <n v="9188.51"/>
    <n v="2887"/>
  </r>
  <r>
    <s v="O0102"/>
    <x v="94"/>
    <x v="4"/>
    <s v="C022"/>
    <x v="59"/>
    <s v="Jaipur"/>
    <x v="3"/>
    <d v="2023-09-28T00:00:00"/>
    <s v="P010"/>
    <x v="7"/>
    <x v="2"/>
    <n v="45275.73"/>
    <n v="4"/>
    <n v="0.05"/>
    <n v="172047.77"/>
    <n v="8906.7099999999991"/>
  </r>
  <r>
    <s v="O0103"/>
    <x v="95"/>
    <x v="6"/>
    <s v="C086"/>
    <x v="3"/>
    <s v="Kolkata"/>
    <x v="2"/>
    <d v="2023-03-01T00:00:00"/>
    <s v="P014"/>
    <x v="14"/>
    <x v="0"/>
    <n v="33465.440000000002"/>
    <n v="3"/>
    <n v="0.2"/>
    <n v="80317.06"/>
    <n v="13412.63"/>
  </r>
  <r>
    <s v="O0104"/>
    <x v="96"/>
    <x v="10"/>
    <s v="C061"/>
    <x v="36"/>
    <s v="Bengaluru"/>
    <x v="0"/>
    <d v="2024-10-04T00:00:00"/>
    <s v="P015"/>
    <x v="6"/>
    <x v="0"/>
    <n v="10751.13"/>
    <n v="5"/>
    <n v="0.15"/>
    <n v="45692.3"/>
    <n v="12354.75"/>
  </r>
  <r>
    <s v="O0105"/>
    <x v="97"/>
    <x v="6"/>
    <s v="C079"/>
    <x v="66"/>
    <s v="Kolkata"/>
    <x v="2"/>
    <d v="2023-06-06T00:00:00"/>
    <s v="P003"/>
    <x v="10"/>
    <x v="1"/>
    <n v="16937.37"/>
    <n v="2"/>
    <n v="0.05"/>
    <n v="32181"/>
    <n v="3727.41"/>
  </r>
  <r>
    <s v="O0106"/>
    <x v="98"/>
    <x v="2"/>
    <s v="C064"/>
    <x v="60"/>
    <s v="Mumbai"/>
    <x v="1"/>
    <d v="2024-01-30T00:00:00"/>
    <s v="P009"/>
    <x v="12"/>
    <x v="2"/>
    <n v="11485.64"/>
    <n v="4"/>
    <n v="0"/>
    <n v="45942.559999999998"/>
    <n v="7656.66"/>
  </r>
  <r>
    <s v="O0107"/>
    <x v="3"/>
    <x v="1"/>
    <s v="C039"/>
    <x v="32"/>
    <s v="Bengaluru"/>
    <x v="0"/>
    <d v="2024-06-30T00:00:00"/>
    <s v="P003"/>
    <x v="10"/>
    <x v="1"/>
    <n v="16937.37"/>
    <n v="4"/>
    <n v="0.15"/>
    <n v="57587.06"/>
    <n v="5730.69"/>
  </r>
  <r>
    <s v="O0108"/>
    <x v="99"/>
    <x v="9"/>
    <s v="C006"/>
    <x v="6"/>
    <s v="Jaipur"/>
    <x v="3"/>
    <d v="2024-03-08T00:00:00"/>
    <s v="P004"/>
    <x v="8"/>
    <x v="1"/>
    <n v="29436.02"/>
    <n v="2"/>
    <n v="0.1"/>
    <n v="52984.84"/>
    <n v="11139.38"/>
  </r>
  <r>
    <s v="O0109"/>
    <x v="100"/>
    <x v="6"/>
    <s v="C071"/>
    <x v="67"/>
    <s v="Pune"/>
    <x v="1"/>
    <d v="2023-04-25T00:00:00"/>
    <s v="P014"/>
    <x v="14"/>
    <x v="0"/>
    <n v="33465.440000000002"/>
    <n v="5"/>
    <n v="0.1"/>
    <n v="150594.48000000001"/>
    <n v="37482.959999999999"/>
  </r>
  <r>
    <s v="O0110"/>
    <x v="101"/>
    <x v="5"/>
    <s v="C056"/>
    <x v="9"/>
    <s v="Jaipur"/>
    <x v="3"/>
    <d v="2024-02-13T00:00:00"/>
    <s v="P008"/>
    <x v="9"/>
    <x v="2"/>
    <n v="31573.59"/>
    <n v="4"/>
    <n v="0"/>
    <n v="126294.36"/>
    <n v="39158.25"/>
  </r>
  <r>
    <s v="O0111"/>
    <x v="102"/>
    <x v="0"/>
    <s v="C065"/>
    <x v="68"/>
    <s v="Noida"/>
    <x v="3"/>
    <d v="2024-09-02T00:00:00"/>
    <s v="P003"/>
    <x v="10"/>
    <x v="1"/>
    <n v="16937.37"/>
    <n v="1"/>
    <n v="0"/>
    <n v="16937.37"/>
    <n v="2773.18"/>
  </r>
  <r>
    <s v="O0112"/>
    <x v="65"/>
    <x v="7"/>
    <s v="C078"/>
    <x v="69"/>
    <s v="Chennai"/>
    <x v="0"/>
    <d v="2024-09-15T00:00:00"/>
    <s v="P005"/>
    <x v="13"/>
    <x v="1"/>
    <n v="11544.23"/>
    <n v="4"/>
    <n v="0"/>
    <n v="46176.92"/>
    <n v="6984.27"/>
  </r>
  <r>
    <s v="O0113"/>
    <x v="103"/>
    <x v="6"/>
    <s v="C099"/>
    <x v="70"/>
    <s v="Pune"/>
    <x v="1"/>
    <d v="2024-03-24T00:00:00"/>
    <s v="P013"/>
    <x v="3"/>
    <x v="0"/>
    <n v="11938.33"/>
    <n v="3"/>
    <n v="0.2"/>
    <n v="28651.99"/>
    <n v="9608.77"/>
  </r>
  <r>
    <s v="O0114"/>
    <x v="104"/>
    <x v="7"/>
    <s v="C067"/>
    <x v="47"/>
    <s v="Hyderabad"/>
    <x v="0"/>
    <d v="2024-07-20T00:00:00"/>
    <s v="P013"/>
    <x v="3"/>
    <x v="0"/>
    <n v="11938.33"/>
    <n v="3"/>
    <n v="0.2"/>
    <n v="28651.99"/>
    <n v="2136.63"/>
  </r>
  <r>
    <s v="O0115"/>
    <x v="105"/>
    <x v="4"/>
    <s v="C013"/>
    <x v="71"/>
    <s v="Kolkata"/>
    <x v="2"/>
    <d v="2024-04-04T00:00:00"/>
    <s v="P010"/>
    <x v="7"/>
    <x v="2"/>
    <n v="45275.73"/>
    <n v="5"/>
    <n v="0"/>
    <n v="226378.65"/>
    <n v="79226.27"/>
  </r>
  <r>
    <s v="O0116"/>
    <x v="106"/>
    <x v="3"/>
    <s v="C017"/>
    <x v="72"/>
    <s v="Hyderabad"/>
    <x v="0"/>
    <d v="2023-06-09T00:00:00"/>
    <s v="P015"/>
    <x v="6"/>
    <x v="0"/>
    <n v="10751.13"/>
    <n v="2"/>
    <n v="0.15"/>
    <n v="18276.919999999998"/>
    <n v="1290.0899999999999"/>
  </r>
  <r>
    <s v="O0117"/>
    <x v="107"/>
    <x v="10"/>
    <s v="C091"/>
    <x v="16"/>
    <s v="Bengaluru"/>
    <x v="0"/>
    <d v="2024-11-06T00:00:00"/>
    <s v="P007"/>
    <x v="4"/>
    <x v="2"/>
    <n v="3596.1"/>
    <n v="1"/>
    <n v="0.2"/>
    <n v="2876.88"/>
    <n v="170.62"/>
  </r>
  <r>
    <s v="O0118"/>
    <x v="108"/>
    <x v="11"/>
    <s v="C073"/>
    <x v="73"/>
    <s v="Bengaluru"/>
    <x v="0"/>
    <d v="2024-04-09T00:00:00"/>
    <s v="P010"/>
    <x v="7"/>
    <x v="2"/>
    <n v="45275.73"/>
    <n v="2"/>
    <n v="0.2"/>
    <n v="72441.17"/>
    <n v="4064.96"/>
  </r>
  <r>
    <s v="O0119"/>
    <x v="109"/>
    <x v="1"/>
    <s v="C059"/>
    <x v="14"/>
    <s v="Gurugram"/>
    <x v="3"/>
    <d v="2023-04-04T00:00:00"/>
    <s v="P001"/>
    <x v="2"/>
    <x v="1"/>
    <n v="6094.16"/>
    <n v="2"/>
    <n v="0"/>
    <n v="12188.32"/>
    <n v="2340.9899999999998"/>
  </r>
  <r>
    <s v="O0120"/>
    <x v="110"/>
    <x v="10"/>
    <s v="C034"/>
    <x v="46"/>
    <s v="Pune"/>
    <x v="1"/>
    <d v="2023-06-16T00:00:00"/>
    <s v="P002"/>
    <x v="1"/>
    <x v="1"/>
    <n v="11273.63"/>
    <n v="5"/>
    <n v="0"/>
    <n v="56368.15"/>
    <n v="10682.34"/>
  </r>
  <r>
    <s v="O0121"/>
    <x v="109"/>
    <x v="1"/>
    <s v="C060"/>
    <x v="74"/>
    <s v="Delhi"/>
    <x v="3"/>
    <d v="2023-04-23T00:00:00"/>
    <s v="P006"/>
    <x v="5"/>
    <x v="2"/>
    <n v="11049.86"/>
    <n v="3"/>
    <n v="0"/>
    <n v="33149.58"/>
    <n v="7683.01"/>
  </r>
  <r>
    <s v="O0122"/>
    <x v="111"/>
    <x v="7"/>
    <s v="C030"/>
    <x v="75"/>
    <s v="Kolkata"/>
    <x v="2"/>
    <d v="2023-10-24T00:00:00"/>
    <s v="P012"/>
    <x v="0"/>
    <x v="0"/>
    <n v="3589.32"/>
    <n v="2"/>
    <n v="0"/>
    <n v="7178.64"/>
    <n v="591.73"/>
  </r>
  <r>
    <s v="O0123"/>
    <x v="112"/>
    <x v="7"/>
    <s v="C067"/>
    <x v="47"/>
    <s v="Hyderabad"/>
    <x v="0"/>
    <d v="2024-07-20T00:00:00"/>
    <s v="P005"/>
    <x v="13"/>
    <x v="1"/>
    <n v="11544.23"/>
    <n v="3"/>
    <n v="0.1"/>
    <n v="31169.42"/>
    <n v="7892.23"/>
  </r>
  <r>
    <s v="O0124"/>
    <x v="113"/>
    <x v="0"/>
    <s v="C060"/>
    <x v="74"/>
    <s v="Delhi"/>
    <x v="3"/>
    <d v="2023-04-23T00:00:00"/>
    <s v="P008"/>
    <x v="9"/>
    <x v="2"/>
    <n v="31573.59"/>
    <n v="4"/>
    <n v="0.15"/>
    <n v="107350.21"/>
    <n v="11754.73"/>
  </r>
  <r>
    <s v="O0125"/>
    <x v="114"/>
    <x v="2"/>
    <s v="C085"/>
    <x v="2"/>
    <s v="Pune"/>
    <x v="1"/>
    <d v="2023-11-11T00:00:00"/>
    <s v="P010"/>
    <x v="7"/>
    <x v="2"/>
    <n v="45275.73"/>
    <n v="2"/>
    <n v="0"/>
    <n v="90551.46"/>
    <n v="23467.13"/>
  </r>
  <r>
    <s v="O0126"/>
    <x v="115"/>
    <x v="0"/>
    <s v="C032"/>
    <x v="43"/>
    <s v="Mumbai"/>
    <x v="1"/>
    <d v="2024-01-25T00:00:00"/>
    <s v="P015"/>
    <x v="6"/>
    <x v="0"/>
    <n v="10751.13"/>
    <n v="5"/>
    <n v="0.2"/>
    <n v="43004.52"/>
    <n v="3712"/>
  </r>
  <r>
    <s v="O0127"/>
    <x v="116"/>
    <x v="2"/>
    <s v="C046"/>
    <x v="11"/>
    <s v="Pune"/>
    <x v="1"/>
    <d v="2024-02-15T00:00:00"/>
    <s v="P013"/>
    <x v="3"/>
    <x v="0"/>
    <n v="11938.33"/>
    <n v="1"/>
    <n v="0"/>
    <n v="11938.33"/>
    <n v="2504.94"/>
  </r>
  <r>
    <s v="O0128"/>
    <x v="117"/>
    <x v="4"/>
    <s v="C089"/>
    <x v="76"/>
    <s v="Gurugram"/>
    <x v="3"/>
    <d v="2023-03-12T00:00:00"/>
    <s v="P014"/>
    <x v="14"/>
    <x v="0"/>
    <n v="33465.440000000002"/>
    <n v="3"/>
    <n v="0"/>
    <n v="100396.32"/>
    <n v="20258.8"/>
  </r>
  <r>
    <s v="O0129"/>
    <x v="118"/>
    <x v="8"/>
    <s v="C049"/>
    <x v="24"/>
    <s v="Pune"/>
    <x v="1"/>
    <d v="2023-08-06T00:00:00"/>
    <s v="P009"/>
    <x v="12"/>
    <x v="2"/>
    <n v="11485.64"/>
    <n v="1"/>
    <n v="0.2"/>
    <n v="9188.51"/>
    <n v="1617.34"/>
  </r>
  <r>
    <s v="O0130"/>
    <x v="119"/>
    <x v="3"/>
    <s v="C006"/>
    <x v="6"/>
    <s v="Jaipur"/>
    <x v="3"/>
    <d v="2024-03-08T00:00:00"/>
    <s v="P008"/>
    <x v="9"/>
    <x v="2"/>
    <n v="31573.59"/>
    <n v="1"/>
    <n v="0.05"/>
    <n v="29994.91"/>
    <n v="10145.370000000001"/>
  </r>
  <r>
    <s v="O0131"/>
    <x v="120"/>
    <x v="11"/>
    <s v="C042"/>
    <x v="77"/>
    <s v="Hyderabad"/>
    <x v="0"/>
    <d v="2024-10-17T00:00:00"/>
    <s v="P014"/>
    <x v="14"/>
    <x v="0"/>
    <n v="33465.440000000002"/>
    <n v="4"/>
    <n v="0.15"/>
    <n v="113782.5"/>
    <n v="10911.44"/>
  </r>
  <r>
    <s v="O0132"/>
    <x v="121"/>
    <x v="5"/>
    <s v="C094"/>
    <x v="78"/>
    <s v="Chennai"/>
    <x v="0"/>
    <d v="2024-09-13T00:00:00"/>
    <s v="P003"/>
    <x v="10"/>
    <x v="1"/>
    <n v="16937.37"/>
    <n v="5"/>
    <n v="0.15"/>
    <n v="71983.820000000007"/>
    <n v="9431.66"/>
  </r>
  <r>
    <s v="O0133"/>
    <x v="113"/>
    <x v="0"/>
    <s v="C035"/>
    <x v="13"/>
    <s v="Pune"/>
    <x v="1"/>
    <d v="2023-12-30T00:00:00"/>
    <s v="P001"/>
    <x v="2"/>
    <x v="1"/>
    <n v="6094.16"/>
    <n v="4"/>
    <n v="0.05"/>
    <n v="23157.81"/>
    <n v="4183.9799999999996"/>
  </r>
  <r>
    <s v="O0134"/>
    <x v="122"/>
    <x v="6"/>
    <s v="C023"/>
    <x v="79"/>
    <s v="Delhi"/>
    <x v="3"/>
    <d v="2024-04-15T00:00:00"/>
    <s v="P011"/>
    <x v="11"/>
    <x v="0"/>
    <n v="42988.79"/>
    <n v="3"/>
    <n v="0"/>
    <n v="128966.37"/>
    <n v="39401.019999999997"/>
  </r>
  <r>
    <s v="O0135"/>
    <x v="80"/>
    <x v="1"/>
    <s v="C047"/>
    <x v="10"/>
    <s v="Hyderabad"/>
    <x v="0"/>
    <d v="2023-03-09T00:00:00"/>
    <s v="P002"/>
    <x v="1"/>
    <x v="1"/>
    <n v="11273.63"/>
    <n v="3"/>
    <n v="0.05"/>
    <n v="32129.85"/>
    <n v="3957.08"/>
  </r>
  <r>
    <s v="O0136"/>
    <x v="123"/>
    <x v="4"/>
    <s v="C080"/>
    <x v="80"/>
    <s v="Pune"/>
    <x v="1"/>
    <d v="2023-06-15T00:00:00"/>
    <s v="P013"/>
    <x v="3"/>
    <x v="0"/>
    <n v="11938.33"/>
    <n v="5"/>
    <n v="0.1"/>
    <n v="53722.48"/>
    <n v="13455.15"/>
  </r>
  <r>
    <s v="O0137"/>
    <x v="101"/>
    <x v="5"/>
    <s v="C020"/>
    <x v="33"/>
    <s v="Noida"/>
    <x v="3"/>
    <d v="2023-04-10T00:00:00"/>
    <s v="P013"/>
    <x v="3"/>
    <x v="0"/>
    <n v="11938.33"/>
    <n v="1"/>
    <n v="0.05"/>
    <n v="11341.41"/>
    <n v="3462.37"/>
  </r>
  <r>
    <s v="O0138"/>
    <x v="124"/>
    <x v="10"/>
    <s v="C062"/>
    <x v="50"/>
    <s v="Bengaluru"/>
    <x v="0"/>
    <d v="2024-11-27T00:00:00"/>
    <s v="P015"/>
    <x v="6"/>
    <x v="0"/>
    <n v="10751.13"/>
    <n v="4"/>
    <n v="0"/>
    <n v="43004.52"/>
    <n v="6727.95"/>
  </r>
  <r>
    <s v="O0139"/>
    <x v="125"/>
    <x v="4"/>
    <s v="C096"/>
    <x v="81"/>
    <s v="Chennai"/>
    <x v="0"/>
    <d v="2024-12-07T00:00:00"/>
    <s v="P004"/>
    <x v="8"/>
    <x v="1"/>
    <n v="29436.02"/>
    <n v="3"/>
    <n v="0"/>
    <n v="88308.06"/>
    <n v="27737.21"/>
  </r>
  <r>
    <s v="O0140"/>
    <x v="126"/>
    <x v="5"/>
    <s v="C025"/>
    <x v="82"/>
    <s v="Noida"/>
    <x v="3"/>
    <d v="2023-03-22T00:00:00"/>
    <s v="P014"/>
    <x v="14"/>
    <x v="0"/>
    <n v="33465.440000000002"/>
    <n v="3"/>
    <n v="0.1"/>
    <n v="90356.69"/>
    <n v="4793"/>
  </r>
  <r>
    <s v="O0141"/>
    <x v="127"/>
    <x v="8"/>
    <s v="C041"/>
    <x v="41"/>
    <s v="Gurugram"/>
    <x v="3"/>
    <d v="2024-01-24T00:00:00"/>
    <s v="P009"/>
    <x v="12"/>
    <x v="2"/>
    <n v="11485.64"/>
    <n v="1"/>
    <n v="0"/>
    <n v="11485.64"/>
    <n v="3055.44"/>
  </r>
  <r>
    <s v="O0142"/>
    <x v="128"/>
    <x v="8"/>
    <s v="C074"/>
    <x v="20"/>
    <s v="Delhi"/>
    <x v="3"/>
    <d v="2023-09-27T00:00:00"/>
    <s v="P014"/>
    <x v="14"/>
    <x v="0"/>
    <n v="33465.440000000002"/>
    <n v="5"/>
    <n v="0.2"/>
    <n v="133861.76000000001"/>
    <n v="16344.14"/>
  </r>
  <r>
    <s v="O0143"/>
    <x v="129"/>
    <x v="1"/>
    <s v="C055"/>
    <x v="38"/>
    <s v="Jaipur"/>
    <x v="3"/>
    <d v="2024-03-14T00:00:00"/>
    <s v="P007"/>
    <x v="4"/>
    <x v="2"/>
    <n v="3596.1"/>
    <n v="4"/>
    <n v="0.05"/>
    <n v="13665.18"/>
    <n v="3933.93"/>
  </r>
  <r>
    <s v="O0144"/>
    <x v="130"/>
    <x v="10"/>
    <s v="C086"/>
    <x v="3"/>
    <s v="Kolkata"/>
    <x v="2"/>
    <d v="2023-03-01T00:00:00"/>
    <s v="P008"/>
    <x v="9"/>
    <x v="2"/>
    <n v="31573.59"/>
    <n v="3"/>
    <n v="0"/>
    <n v="94720.77"/>
    <n v="16227.59"/>
  </r>
  <r>
    <s v="O0145"/>
    <x v="1"/>
    <x v="1"/>
    <s v="C019"/>
    <x v="83"/>
    <s v="Mumbai"/>
    <x v="1"/>
    <d v="2023-04-05T00:00:00"/>
    <s v="P015"/>
    <x v="6"/>
    <x v="0"/>
    <n v="10751.13"/>
    <n v="3"/>
    <n v="0.15"/>
    <n v="27415.38"/>
    <n v="6153.84"/>
  </r>
  <r>
    <s v="O0146"/>
    <x v="9"/>
    <x v="5"/>
    <s v="C034"/>
    <x v="46"/>
    <s v="Pune"/>
    <x v="1"/>
    <d v="2023-06-16T00:00:00"/>
    <s v="P005"/>
    <x v="13"/>
    <x v="1"/>
    <n v="11544.23"/>
    <n v="5"/>
    <n v="0.1"/>
    <n v="51949.04"/>
    <n v="7954.81"/>
  </r>
  <r>
    <s v="O0147"/>
    <x v="131"/>
    <x v="3"/>
    <s v="C099"/>
    <x v="70"/>
    <s v="Pune"/>
    <x v="1"/>
    <d v="2024-03-24T00:00:00"/>
    <s v="P009"/>
    <x v="12"/>
    <x v="2"/>
    <n v="11485.64"/>
    <n v="3"/>
    <n v="0"/>
    <n v="34456.92"/>
    <n v="8988.31"/>
  </r>
  <r>
    <s v="O0148"/>
    <x v="132"/>
    <x v="5"/>
    <s v="C025"/>
    <x v="82"/>
    <s v="Noida"/>
    <x v="3"/>
    <d v="2023-03-22T00:00:00"/>
    <s v="P013"/>
    <x v="3"/>
    <x v="0"/>
    <n v="11938.33"/>
    <n v="3"/>
    <n v="0"/>
    <n v="35814.99"/>
    <n v="4267.76"/>
  </r>
  <r>
    <s v="O0149"/>
    <x v="133"/>
    <x v="4"/>
    <s v="C062"/>
    <x v="50"/>
    <s v="Bengaluru"/>
    <x v="0"/>
    <d v="2024-11-27T00:00:00"/>
    <s v="P009"/>
    <x v="12"/>
    <x v="2"/>
    <n v="11485.64"/>
    <n v="3"/>
    <n v="0"/>
    <n v="34456.92"/>
    <n v="9402.06"/>
  </r>
  <r>
    <s v="O0150"/>
    <x v="134"/>
    <x v="8"/>
    <s v="C020"/>
    <x v="33"/>
    <s v="Noida"/>
    <x v="3"/>
    <d v="2023-04-10T00:00:00"/>
    <s v="P011"/>
    <x v="11"/>
    <x v="0"/>
    <n v="42988.79"/>
    <n v="2"/>
    <n v="0"/>
    <n v="85977.58"/>
    <n v="9880.15"/>
  </r>
  <r>
    <s v="O0151"/>
    <x v="135"/>
    <x v="11"/>
    <s v="C087"/>
    <x v="45"/>
    <s v="Kolkata"/>
    <x v="2"/>
    <d v="2024-08-03T00:00:00"/>
    <s v="P013"/>
    <x v="3"/>
    <x v="0"/>
    <n v="11938.33"/>
    <n v="3"/>
    <n v="0.15"/>
    <n v="30442.74"/>
    <n v="6906.73"/>
  </r>
  <r>
    <s v="O0152"/>
    <x v="136"/>
    <x v="5"/>
    <s v="C063"/>
    <x v="21"/>
    <s v="Noida"/>
    <x v="3"/>
    <d v="2024-09-02T00:00:00"/>
    <s v="P002"/>
    <x v="1"/>
    <x v="1"/>
    <n v="11273.63"/>
    <n v="5"/>
    <n v="0"/>
    <n v="56368.15"/>
    <n v="19399.28"/>
  </r>
  <r>
    <s v="O0153"/>
    <x v="137"/>
    <x v="2"/>
    <s v="C071"/>
    <x v="67"/>
    <s v="Pune"/>
    <x v="1"/>
    <d v="2023-04-25T00:00:00"/>
    <s v="P001"/>
    <x v="2"/>
    <x v="1"/>
    <n v="6094.16"/>
    <n v="3"/>
    <n v="0"/>
    <n v="18282.48"/>
    <n v="2893.46"/>
  </r>
  <r>
    <s v="O0154"/>
    <x v="138"/>
    <x v="3"/>
    <s v="C097"/>
    <x v="84"/>
    <s v="Kolkata"/>
    <x v="2"/>
    <d v="2024-12-31T00:00:00"/>
    <s v="P014"/>
    <x v="14"/>
    <x v="0"/>
    <n v="33465.440000000002"/>
    <n v="1"/>
    <n v="0.15"/>
    <n v="28445.62"/>
    <n v="5980.42"/>
  </r>
  <r>
    <s v="O0155"/>
    <x v="139"/>
    <x v="4"/>
    <s v="C034"/>
    <x v="46"/>
    <s v="Pune"/>
    <x v="1"/>
    <d v="2023-06-16T00:00:00"/>
    <s v="P006"/>
    <x v="5"/>
    <x v="2"/>
    <n v="11049.86"/>
    <n v="1"/>
    <n v="0"/>
    <n v="11049.86"/>
    <n v="2386.85"/>
  </r>
  <r>
    <s v="O0156"/>
    <x v="140"/>
    <x v="8"/>
    <s v="C062"/>
    <x v="50"/>
    <s v="Bengaluru"/>
    <x v="0"/>
    <d v="2024-11-27T00:00:00"/>
    <s v="P001"/>
    <x v="2"/>
    <x v="1"/>
    <n v="6094.16"/>
    <n v="2"/>
    <n v="0.15"/>
    <n v="10360.07"/>
    <n v="3217.2"/>
  </r>
  <r>
    <s v="O0157"/>
    <x v="141"/>
    <x v="3"/>
    <s v="C003"/>
    <x v="26"/>
    <s v="Kolkata"/>
    <x v="2"/>
    <d v="2023-05-23T00:00:00"/>
    <s v="P006"/>
    <x v="5"/>
    <x v="2"/>
    <n v="11049.86"/>
    <n v="1"/>
    <n v="0.2"/>
    <n v="8839.89"/>
    <n v="474.52"/>
  </r>
  <r>
    <s v="O0158"/>
    <x v="142"/>
    <x v="5"/>
    <s v="C016"/>
    <x v="4"/>
    <s v="Noida"/>
    <x v="3"/>
    <d v="2023-12-15T00:00:00"/>
    <s v="P003"/>
    <x v="10"/>
    <x v="1"/>
    <n v="16937.37"/>
    <n v="4"/>
    <n v="0.05"/>
    <n v="64362.01"/>
    <n v="11722.94"/>
  </r>
  <r>
    <s v="O0159"/>
    <x v="143"/>
    <x v="8"/>
    <s v="C011"/>
    <x v="39"/>
    <s v="Chennai"/>
    <x v="0"/>
    <d v="2023-07-23T00:00:00"/>
    <s v="P007"/>
    <x v="4"/>
    <x v="2"/>
    <n v="3596.1"/>
    <n v="1"/>
    <n v="0"/>
    <n v="3596.1"/>
    <n v="1195.05"/>
  </r>
  <r>
    <s v="O0160"/>
    <x v="144"/>
    <x v="8"/>
    <s v="C022"/>
    <x v="59"/>
    <s v="Jaipur"/>
    <x v="3"/>
    <d v="2023-09-28T00:00:00"/>
    <s v="P004"/>
    <x v="8"/>
    <x v="1"/>
    <n v="29436.02"/>
    <n v="1"/>
    <n v="0.2"/>
    <n v="23548.82"/>
    <n v="1639.07"/>
  </r>
  <r>
    <s v="O0161"/>
    <x v="145"/>
    <x v="9"/>
    <s v="C074"/>
    <x v="20"/>
    <s v="Delhi"/>
    <x v="3"/>
    <d v="2023-09-27T00:00:00"/>
    <s v="P011"/>
    <x v="11"/>
    <x v="0"/>
    <n v="42988.79"/>
    <n v="1"/>
    <n v="0.1"/>
    <n v="38689.910000000003"/>
    <n v="9240.4500000000007"/>
  </r>
  <r>
    <s v="O0162"/>
    <x v="146"/>
    <x v="2"/>
    <s v="C035"/>
    <x v="13"/>
    <s v="Pune"/>
    <x v="1"/>
    <d v="2023-12-30T00:00:00"/>
    <s v="P005"/>
    <x v="13"/>
    <x v="1"/>
    <n v="11544.23"/>
    <n v="2"/>
    <n v="0"/>
    <n v="23088.46"/>
    <n v="6772.83"/>
  </r>
  <r>
    <s v="O0163"/>
    <x v="147"/>
    <x v="6"/>
    <s v="C029"/>
    <x v="85"/>
    <s v="Mumbai"/>
    <x v="1"/>
    <d v="2023-02-16T00:00:00"/>
    <s v="P007"/>
    <x v="4"/>
    <x v="2"/>
    <n v="3596.1"/>
    <n v="1"/>
    <n v="0"/>
    <n v="3596.1"/>
    <n v="307.58999999999997"/>
  </r>
  <r>
    <s v="O0164"/>
    <x v="148"/>
    <x v="0"/>
    <s v="C074"/>
    <x v="20"/>
    <s v="Delhi"/>
    <x v="3"/>
    <d v="2023-09-27T00:00:00"/>
    <s v="P008"/>
    <x v="9"/>
    <x v="2"/>
    <n v="31573.59"/>
    <n v="5"/>
    <n v="0.1"/>
    <n v="142081.16"/>
    <n v="40808.870000000003"/>
  </r>
  <r>
    <s v="O0165"/>
    <x v="81"/>
    <x v="6"/>
    <s v="C093"/>
    <x v="86"/>
    <s v="Bengaluru"/>
    <x v="0"/>
    <d v="2023-09-29T00:00:00"/>
    <s v="P012"/>
    <x v="0"/>
    <x v="0"/>
    <n v="3589.32"/>
    <n v="5"/>
    <n v="0.05"/>
    <n v="17049.27"/>
    <n v="3156.75"/>
  </r>
  <r>
    <s v="O0166"/>
    <x v="149"/>
    <x v="6"/>
    <s v="C025"/>
    <x v="82"/>
    <s v="Noida"/>
    <x v="3"/>
    <d v="2023-03-22T00:00:00"/>
    <s v="P015"/>
    <x v="6"/>
    <x v="0"/>
    <n v="10751.13"/>
    <n v="3"/>
    <n v="0.2"/>
    <n v="25802.71"/>
    <n v="5845.8"/>
  </r>
  <r>
    <s v="O0167"/>
    <x v="150"/>
    <x v="10"/>
    <s v="C059"/>
    <x v="14"/>
    <s v="Gurugram"/>
    <x v="3"/>
    <d v="2023-04-04T00:00:00"/>
    <s v="P011"/>
    <x v="11"/>
    <x v="0"/>
    <n v="42988.79"/>
    <n v="3"/>
    <n v="0.1"/>
    <n v="116069.73"/>
    <n v="27428.23"/>
  </r>
  <r>
    <s v="O0168"/>
    <x v="102"/>
    <x v="0"/>
    <s v="C030"/>
    <x v="75"/>
    <s v="Kolkata"/>
    <x v="2"/>
    <d v="2023-10-24T00:00:00"/>
    <s v="P002"/>
    <x v="1"/>
    <x v="1"/>
    <n v="11273.63"/>
    <n v="1"/>
    <n v="0.2"/>
    <n v="9018.9"/>
    <n v="1013.15"/>
  </r>
  <r>
    <s v="O0169"/>
    <x v="151"/>
    <x v="10"/>
    <s v="C015"/>
    <x v="35"/>
    <s v="Delhi"/>
    <x v="3"/>
    <d v="2023-06-13T00:00:00"/>
    <s v="P002"/>
    <x v="1"/>
    <x v="1"/>
    <n v="11273.63"/>
    <n v="3"/>
    <n v="0.15"/>
    <n v="28747.759999999998"/>
    <n v="2137.58"/>
  </r>
  <r>
    <s v="O0170"/>
    <x v="13"/>
    <x v="7"/>
    <s v="C077"/>
    <x v="87"/>
    <s v="Hyderabad"/>
    <x v="0"/>
    <d v="2024-10-16T00:00:00"/>
    <s v="P009"/>
    <x v="12"/>
    <x v="2"/>
    <n v="11485.64"/>
    <n v="2"/>
    <n v="0.1"/>
    <n v="20674.150000000001"/>
    <n v="1499.28"/>
  </r>
  <r>
    <s v="O0171"/>
    <x v="50"/>
    <x v="1"/>
    <s v="C024"/>
    <x v="34"/>
    <s v="Chennai"/>
    <x v="0"/>
    <d v="2023-05-08T00:00:00"/>
    <s v="P004"/>
    <x v="8"/>
    <x v="1"/>
    <n v="29436.02"/>
    <n v="4"/>
    <n v="0.05"/>
    <n v="111856.88"/>
    <n v="28726.12"/>
  </r>
  <r>
    <s v="O0172"/>
    <x v="152"/>
    <x v="4"/>
    <s v="C037"/>
    <x v="1"/>
    <s v="Hyderabad"/>
    <x v="0"/>
    <d v="2024-12-19T00:00:00"/>
    <s v="P003"/>
    <x v="10"/>
    <x v="1"/>
    <n v="16937.37"/>
    <n v="3"/>
    <n v="0"/>
    <n v="50812.11"/>
    <n v="6069.14"/>
  </r>
  <r>
    <s v="O0173"/>
    <x v="153"/>
    <x v="6"/>
    <s v="C009"/>
    <x v="30"/>
    <s v="Kolkata"/>
    <x v="2"/>
    <d v="2024-06-01T00:00:00"/>
    <s v="P013"/>
    <x v="3"/>
    <x v="0"/>
    <n v="11938.33"/>
    <n v="3"/>
    <n v="0.15"/>
    <n v="30442.74"/>
    <n v="9372.77"/>
  </r>
  <r>
    <s v="O0174"/>
    <x v="154"/>
    <x v="3"/>
    <s v="C073"/>
    <x v="73"/>
    <s v="Bengaluru"/>
    <x v="0"/>
    <d v="2024-04-09T00:00:00"/>
    <s v="P001"/>
    <x v="2"/>
    <x v="1"/>
    <n v="6094.16"/>
    <n v="2"/>
    <n v="0"/>
    <n v="12188.32"/>
    <n v="3490.11"/>
  </r>
  <r>
    <s v="O0175"/>
    <x v="155"/>
    <x v="5"/>
    <s v="C048"/>
    <x v="88"/>
    <s v="Kolkata"/>
    <x v="2"/>
    <d v="2024-08-03T00:00:00"/>
    <s v="P015"/>
    <x v="6"/>
    <x v="0"/>
    <n v="10751.13"/>
    <n v="5"/>
    <n v="0.15"/>
    <n v="45692.3"/>
    <n v="13304.3"/>
  </r>
  <r>
    <s v="O0176"/>
    <x v="156"/>
    <x v="3"/>
    <s v="C049"/>
    <x v="24"/>
    <s v="Pune"/>
    <x v="1"/>
    <d v="2023-08-06T00:00:00"/>
    <s v="P006"/>
    <x v="5"/>
    <x v="2"/>
    <n v="11049.86"/>
    <n v="4"/>
    <n v="0"/>
    <n v="44199.44"/>
    <n v="9430.7800000000007"/>
  </r>
  <r>
    <s v="O0177"/>
    <x v="157"/>
    <x v="6"/>
    <s v="C018"/>
    <x v="53"/>
    <s v="Kolkata"/>
    <x v="2"/>
    <d v="2023-12-11T00:00:00"/>
    <s v="P010"/>
    <x v="7"/>
    <x v="2"/>
    <n v="45275.73"/>
    <n v="2"/>
    <n v="0"/>
    <n v="90551.46"/>
    <n v="26983.37"/>
  </r>
  <r>
    <s v="O0178"/>
    <x v="158"/>
    <x v="10"/>
    <s v="C072"/>
    <x v="0"/>
    <s v="Hyderabad"/>
    <x v="0"/>
    <d v="2024-03-21T00:00:00"/>
    <s v="P013"/>
    <x v="3"/>
    <x v="0"/>
    <n v="11938.33"/>
    <n v="1"/>
    <n v="0"/>
    <n v="11938.33"/>
    <n v="3435.71"/>
  </r>
  <r>
    <s v="O0179"/>
    <x v="159"/>
    <x v="1"/>
    <s v="C024"/>
    <x v="34"/>
    <s v="Chennai"/>
    <x v="0"/>
    <d v="2023-05-08T00:00:00"/>
    <s v="P013"/>
    <x v="3"/>
    <x v="0"/>
    <n v="11938.33"/>
    <n v="5"/>
    <n v="0"/>
    <n v="59691.65"/>
    <n v="10848.72"/>
  </r>
  <r>
    <s v="O0180"/>
    <x v="160"/>
    <x v="3"/>
    <s v="C092"/>
    <x v="22"/>
    <s v="Gurugram"/>
    <x v="3"/>
    <d v="2024-07-16T00:00:00"/>
    <s v="P014"/>
    <x v="14"/>
    <x v="0"/>
    <n v="33465.440000000002"/>
    <n v="3"/>
    <n v="0.15"/>
    <n v="85336.87"/>
    <n v="14571.49"/>
  </r>
  <r>
    <s v="O0181"/>
    <x v="161"/>
    <x v="6"/>
    <s v="C099"/>
    <x v="70"/>
    <s v="Pune"/>
    <x v="1"/>
    <d v="2024-03-24T00:00:00"/>
    <s v="P014"/>
    <x v="14"/>
    <x v="0"/>
    <n v="33465.440000000002"/>
    <n v="5"/>
    <n v="0.1"/>
    <n v="150594.48000000001"/>
    <n v="29838.57"/>
  </r>
  <r>
    <s v="O0182"/>
    <x v="162"/>
    <x v="2"/>
    <s v="C048"/>
    <x v="88"/>
    <s v="Kolkata"/>
    <x v="2"/>
    <d v="2024-08-03T00:00:00"/>
    <s v="P001"/>
    <x v="2"/>
    <x v="1"/>
    <n v="6094.16"/>
    <n v="5"/>
    <n v="0"/>
    <n v="30470.799999999999"/>
    <n v="9653.9699999999993"/>
  </r>
  <r>
    <s v="O0183"/>
    <x v="163"/>
    <x v="0"/>
    <s v="C032"/>
    <x v="43"/>
    <s v="Mumbai"/>
    <x v="1"/>
    <d v="2024-01-25T00:00:00"/>
    <s v="P006"/>
    <x v="5"/>
    <x v="2"/>
    <n v="11049.86"/>
    <n v="5"/>
    <n v="0"/>
    <n v="55249.3"/>
    <n v="3191.17"/>
  </r>
  <r>
    <s v="O0184"/>
    <x v="164"/>
    <x v="2"/>
    <s v="C047"/>
    <x v="10"/>
    <s v="Hyderabad"/>
    <x v="0"/>
    <d v="2023-03-09T00:00:00"/>
    <s v="P002"/>
    <x v="1"/>
    <x v="1"/>
    <n v="11273.63"/>
    <n v="5"/>
    <n v="0.1"/>
    <n v="50731.34"/>
    <n v="17006.97"/>
  </r>
  <r>
    <s v="O0185"/>
    <x v="165"/>
    <x v="11"/>
    <s v="C053"/>
    <x v="89"/>
    <s v="Kolkata"/>
    <x v="2"/>
    <d v="2024-07-28T00:00:00"/>
    <s v="P001"/>
    <x v="2"/>
    <x v="1"/>
    <n v="6094.16"/>
    <n v="3"/>
    <n v="0.1"/>
    <n v="16454.23"/>
    <n v="1021.31"/>
  </r>
  <r>
    <s v="O0186"/>
    <x v="166"/>
    <x v="3"/>
    <s v="C004"/>
    <x v="17"/>
    <s v="Mumbai"/>
    <x v="1"/>
    <d v="2024-11-23T00:00:00"/>
    <s v="P002"/>
    <x v="1"/>
    <x v="1"/>
    <n v="11273.63"/>
    <n v="4"/>
    <n v="0.1"/>
    <n v="40585.07"/>
    <n v="9961.7199999999993"/>
  </r>
  <r>
    <s v="O0187"/>
    <x v="144"/>
    <x v="8"/>
    <s v="C044"/>
    <x v="15"/>
    <s v="Pune"/>
    <x v="1"/>
    <d v="2023-02-27T00:00:00"/>
    <s v="P002"/>
    <x v="1"/>
    <x v="1"/>
    <n v="11273.63"/>
    <n v="2"/>
    <n v="0.1"/>
    <n v="20292.53"/>
    <n v="3668.19"/>
  </r>
  <r>
    <s v="O0188"/>
    <x v="167"/>
    <x v="4"/>
    <s v="C005"/>
    <x v="19"/>
    <s v="Chennai"/>
    <x v="0"/>
    <d v="2023-03-31T00:00:00"/>
    <s v="P005"/>
    <x v="13"/>
    <x v="1"/>
    <n v="11544.23"/>
    <n v="1"/>
    <n v="0.05"/>
    <n v="10967.02"/>
    <n v="1693.18"/>
  </r>
  <r>
    <s v="O0189"/>
    <x v="168"/>
    <x v="11"/>
    <s v="C029"/>
    <x v="85"/>
    <s v="Mumbai"/>
    <x v="1"/>
    <d v="2023-02-16T00:00:00"/>
    <s v="P002"/>
    <x v="1"/>
    <x v="1"/>
    <n v="11273.63"/>
    <n v="3"/>
    <n v="0.15"/>
    <n v="28747.759999999998"/>
    <n v="2339.4899999999998"/>
  </r>
  <r>
    <s v="O0190"/>
    <x v="169"/>
    <x v="3"/>
    <s v="C010"/>
    <x v="40"/>
    <s v="Jaipur"/>
    <x v="3"/>
    <d v="2023-01-28T00:00:00"/>
    <s v="P003"/>
    <x v="10"/>
    <x v="1"/>
    <n v="16937.37"/>
    <n v="3"/>
    <n v="0.05"/>
    <n v="48271.5"/>
    <n v="12458.98"/>
  </r>
  <r>
    <s v="O0191"/>
    <x v="170"/>
    <x v="9"/>
    <s v="C001"/>
    <x v="55"/>
    <s v="Mumbai"/>
    <x v="1"/>
    <d v="2023-01-26T00:00:00"/>
    <s v="P005"/>
    <x v="13"/>
    <x v="1"/>
    <n v="11544.23"/>
    <n v="4"/>
    <n v="0.2"/>
    <n v="36941.54"/>
    <n v="10275.290000000001"/>
  </r>
  <r>
    <s v="O0192"/>
    <x v="171"/>
    <x v="2"/>
    <s v="C059"/>
    <x v="14"/>
    <s v="Gurugram"/>
    <x v="3"/>
    <d v="2023-04-04T00:00:00"/>
    <s v="P013"/>
    <x v="3"/>
    <x v="0"/>
    <n v="11938.33"/>
    <n v="4"/>
    <n v="0"/>
    <n v="47753.32"/>
    <n v="6893.44"/>
  </r>
  <r>
    <s v="O0193"/>
    <x v="172"/>
    <x v="11"/>
    <s v="C064"/>
    <x v="60"/>
    <s v="Mumbai"/>
    <x v="1"/>
    <d v="2024-01-30T00:00:00"/>
    <s v="P011"/>
    <x v="11"/>
    <x v="0"/>
    <n v="42988.79"/>
    <n v="1"/>
    <n v="0.2"/>
    <n v="34391.03"/>
    <n v="5889.55"/>
  </r>
  <r>
    <s v="O0194"/>
    <x v="173"/>
    <x v="1"/>
    <s v="C073"/>
    <x v="73"/>
    <s v="Bengaluru"/>
    <x v="0"/>
    <d v="2024-04-09T00:00:00"/>
    <s v="P005"/>
    <x v="13"/>
    <x v="1"/>
    <n v="11544.23"/>
    <n v="1"/>
    <n v="0.15"/>
    <n v="9812.6"/>
    <n v="3049.86"/>
  </r>
  <r>
    <s v="O0195"/>
    <x v="174"/>
    <x v="7"/>
    <s v="C084"/>
    <x v="57"/>
    <s v="Delhi"/>
    <x v="3"/>
    <d v="2023-04-25T00:00:00"/>
    <s v="P007"/>
    <x v="4"/>
    <x v="2"/>
    <n v="3596.1"/>
    <n v="4"/>
    <n v="0"/>
    <n v="14384.4"/>
    <n v="1528.7"/>
  </r>
  <r>
    <s v="O0196"/>
    <x v="175"/>
    <x v="6"/>
    <s v="C057"/>
    <x v="61"/>
    <s v="Pune"/>
    <x v="1"/>
    <d v="2023-08-13T00:00:00"/>
    <s v="P012"/>
    <x v="0"/>
    <x v="0"/>
    <n v="3589.32"/>
    <n v="5"/>
    <n v="0.2"/>
    <n v="14357.28"/>
    <n v="2864.97"/>
  </r>
  <r>
    <s v="O0197"/>
    <x v="26"/>
    <x v="8"/>
    <s v="C042"/>
    <x v="77"/>
    <s v="Hyderabad"/>
    <x v="0"/>
    <d v="2024-10-17T00:00:00"/>
    <s v="P012"/>
    <x v="0"/>
    <x v="0"/>
    <n v="3589.32"/>
    <n v="1"/>
    <n v="0"/>
    <n v="3589.32"/>
    <n v="467.03"/>
  </r>
  <r>
    <s v="O0198"/>
    <x v="86"/>
    <x v="8"/>
    <s v="C091"/>
    <x v="16"/>
    <s v="Bengaluru"/>
    <x v="0"/>
    <d v="2024-11-06T00:00:00"/>
    <s v="P008"/>
    <x v="9"/>
    <x v="2"/>
    <n v="31573.59"/>
    <n v="3"/>
    <n v="0.05"/>
    <n v="89984.73"/>
    <n v="28278.06"/>
  </r>
  <r>
    <s v="O0199"/>
    <x v="176"/>
    <x v="10"/>
    <s v="C051"/>
    <x v="90"/>
    <s v="Gurugram"/>
    <x v="3"/>
    <d v="2023-05-27T00:00:00"/>
    <s v="P015"/>
    <x v="6"/>
    <x v="0"/>
    <n v="10751.13"/>
    <n v="1"/>
    <n v="0"/>
    <n v="10751.13"/>
    <n v="3676.28"/>
  </r>
  <r>
    <s v="O0200"/>
    <x v="40"/>
    <x v="5"/>
    <s v="C053"/>
    <x v="89"/>
    <s v="Kolkata"/>
    <x v="2"/>
    <d v="2024-07-28T00:00:00"/>
    <s v="P015"/>
    <x v="6"/>
    <x v="0"/>
    <n v="10751.13"/>
    <n v="2"/>
    <n v="0.15"/>
    <n v="18276.919999999998"/>
    <n v="1782.25"/>
  </r>
  <r>
    <s v="O0201"/>
    <x v="177"/>
    <x v="0"/>
    <s v="C001"/>
    <x v="55"/>
    <s v="Mumbai"/>
    <x v="1"/>
    <d v="2023-01-26T00:00:00"/>
    <s v="P009"/>
    <x v="12"/>
    <x v="2"/>
    <n v="11485.64"/>
    <n v="1"/>
    <n v="0.1"/>
    <n v="10337.08"/>
    <n v="1782.08"/>
  </r>
  <r>
    <s v="O0202"/>
    <x v="156"/>
    <x v="3"/>
    <s v="C028"/>
    <x v="23"/>
    <s v="Jaipur"/>
    <x v="3"/>
    <d v="2023-07-16T00:00:00"/>
    <s v="P013"/>
    <x v="3"/>
    <x v="0"/>
    <n v="11938.33"/>
    <n v="1"/>
    <n v="0.05"/>
    <n v="11341.41"/>
    <n v="3789.37"/>
  </r>
  <r>
    <s v="O0203"/>
    <x v="178"/>
    <x v="3"/>
    <s v="C034"/>
    <x v="46"/>
    <s v="Pune"/>
    <x v="1"/>
    <d v="2023-06-16T00:00:00"/>
    <s v="P008"/>
    <x v="9"/>
    <x v="2"/>
    <n v="31573.59"/>
    <n v="2"/>
    <n v="0.05"/>
    <n v="59989.82"/>
    <n v="19784.400000000001"/>
  </r>
  <r>
    <s v="O0204"/>
    <x v="179"/>
    <x v="8"/>
    <s v="C082"/>
    <x v="64"/>
    <s v="Delhi"/>
    <x v="3"/>
    <d v="2024-09-05T00:00:00"/>
    <s v="P006"/>
    <x v="5"/>
    <x v="2"/>
    <n v="11049.86"/>
    <n v="5"/>
    <n v="0.15"/>
    <n v="46961.9"/>
    <n v="6200.26"/>
  </r>
  <r>
    <s v="O0205"/>
    <x v="180"/>
    <x v="8"/>
    <s v="C090"/>
    <x v="27"/>
    <s v="Chennai"/>
    <x v="0"/>
    <d v="2023-05-09T00:00:00"/>
    <s v="P015"/>
    <x v="6"/>
    <x v="0"/>
    <n v="10751.13"/>
    <n v="4"/>
    <n v="0"/>
    <n v="43004.52"/>
    <n v="8043.39"/>
  </r>
  <r>
    <s v="O0206"/>
    <x v="181"/>
    <x v="11"/>
    <s v="C024"/>
    <x v="34"/>
    <s v="Chennai"/>
    <x v="0"/>
    <d v="2023-05-08T00:00:00"/>
    <s v="P007"/>
    <x v="4"/>
    <x v="2"/>
    <n v="3596.1"/>
    <n v="4"/>
    <n v="0"/>
    <n v="14384.4"/>
    <n v="4697.38"/>
  </r>
  <r>
    <s v="O0207"/>
    <x v="182"/>
    <x v="9"/>
    <s v="C073"/>
    <x v="73"/>
    <s v="Bengaluru"/>
    <x v="0"/>
    <d v="2024-04-09T00:00:00"/>
    <s v="P003"/>
    <x v="10"/>
    <x v="1"/>
    <n v="16937.37"/>
    <n v="2"/>
    <n v="0.2"/>
    <n v="27099.79"/>
    <n v="1922.54"/>
  </r>
  <r>
    <s v="O0208"/>
    <x v="13"/>
    <x v="7"/>
    <s v="C066"/>
    <x v="25"/>
    <s v="Gurugram"/>
    <x v="3"/>
    <d v="2024-06-25T00:00:00"/>
    <s v="P010"/>
    <x v="7"/>
    <x v="2"/>
    <n v="45275.73"/>
    <n v="3"/>
    <n v="0.2"/>
    <n v="108661.75"/>
    <n v="21984.59"/>
  </r>
  <r>
    <s v="O0209"/>
    <x v="183"/>
    <x v="0"/>
    <s v="C068"/>
    <x v="44"/>
    <s v="Delhi"/>
    <x v="3"/>
    <d v="2024-11-27T00:00:00"/>
    <s v="P008"/>
    <x v="9"/>
    <x v="2"/>
    <n v="31573.59"/>
    <n v="3"/>
    <n v="0.15"/>
    <n v="80512.649999999994"/>
    <n v="11236.89"/>
  </r>
  <r>
    <s v="O0210"/>
    <x v="184"/>
    <x v="11"/>
    <s v="C041"/>
    <x v="41"/>
    <s v="Gurugram"/>
    <x v="3"/>
    <d v="2024-01-24T00:00:00"/>
    <s v="P003"/>
    <x v="10"/>
    <x v="1"/>
    <n v="16937.37"/>
    <n v="5"/>
    <n v="0.15"/>
    <n v="71983.820000000007"/>
    <n v="14173.05"/>
  </r>
  <r>
    <s v="O0211"/>
    <x v="47"/>
    <x v="4"/>
    <s v="C062"/>
    <x v="50"/>
    <s v="Bengaluru"/>
    <x v="0"/>
    <d v="2024-11-27T00:00:00"/>
    <s v="P006"/>
    <x v="5"/>
    <x v="2"/>
    <n v="11049.86"/>
    <n v="4"/>
    <n v="0.1"/>
    <n v="39779.5"/>
    <n v="7769.03"/>
  </r>
  <r>
    <s v="O0212"/>
    <x v="74"/>
    <x v="1"/>
    <s v="C097"/>
    <x v="84"/>
    <s v="Kolkata"/>
    <x v="2"/>
    <d v="2024-12-31T00:00:00"/>
    <s v="P001"/>
    <x v="2"/>
    <x v="1"/>
    <n v="6094.16"/>
    <n v="5"/>
    <n v="0.2"/>
    <n v="24376.639999999999"/>
    <n v="5192.93"/>
  </r>
  <r>
    <s v="O0213"/>
    <x v="139"/>
    <x v="4"/>
    <s v="C010"/>
    <x v="40"/>
    <s v="Jaipur"/>
    <x v="3"/>
    <d v="2023-01-28T00:00:00"/>
    <s v="P009"/>
    <x v="12"/>
    <x v="2"/>
    <n v="11485.64"/>
    <n v="3"/>
    <n v="0.2"/>
    <n v="27565.54"/>
    <n v="2938.37"/>
  </r>
  <r>
    <s v="O0214"/>
    <x v="185"/>
    <x v="9"/>
    <s v="C025"/>
    <x v="82"/>
    <s v="Noida"/>
    <x v="3"/>
    <d v="2023-03-22T00:00:00"/>
    <s v="P012"/>
    <x v="0"/>
    <x v="0"/>
    <n v="3589.32"/>
    <n v="2"/>
    <n v="0.1"/>
    <n v="6460.78"/>
    <n v="1065.33"/>
  </r>
  <r>
    <s v="O0215"/>
    <x v="186"/>
    <x v="4"/>
    <s v="C076"/>
    <x v="91"/>
    <s v="Chennai"/>
    <x v="0"/>
    <d v="2023-04-19T00:00:00"/>
    <s v="P006"/>
    <x v="5"/>
    <x v="2"/>
    <n v="11049.86"/>
    <n v="1"/>
    <n v="0"/>
    <n v="11049.86"/>
    <n v="3021.16"/>
  </r>
  <r>
    <s v="O0216"/>
    <x v="106"/>
    <x v="3"/>
    <s v="C097"/>
    <x v="84"/>
    <s v="Kolkata"/>
    <x v="2"/>
    <d v="2024-12-31T00:00:00"/>
    <s v="P001"/>
    <x v="2"/>
    <x v="1"/>
    <n v="6094.16"/>
    <n v="4"/>
    <n v="0.05"/>
    <n v="23157.81"/>
    <n v="8024.74"/>
  </r>
  <r>
    <s v="O0217"/>
    <x v="187"/>
    <x v="8"/>
    <s v="C006"/>
    <x v="6"/>
    <s v="Jaipur"/>
    <x v="3"/>
    <d v="2024-03-08T00:00:00"/>
    <s v="P004"/>
    <x v="8"/>
    <x v="1"/>
    <n v="29436.02"/>
    <n v="2"/>
    <n v="0.05"/>
    <n v="55928.44"/>
    <n v="18984.759999999998"/>
  </r>
  <r>
    <s v="O0218"/>
    <x v="188"/>
    <x v="1"/>
    <s v="C072"/>
    <x v="0"/>
    <s v="Hyderabad"/>
    <x v="0"/>
    <d v="2024-03-21T00:00:00"/>
    <s v="P002"/>
    <x v="1"/>
    <x v="1"/>
    <n v="11273.63"/>
    <n v="5"/>
    <n v="0.1"/>
    <n v="50731.34"/>
    <n v="7589.33"/>
  </r>
  <r>
    <s v="O0219"/>
    <x v="189"/>
    <x v="1"/>
    <s v="C077"/>
    <x v="87"/>
    <s v="Hyderabad"/>
    <x v="0"/>
    <d v="2024-10-16T00:00:00"/>
    <s v="P012"/>
    <x v="0"/>
    <x v="0"/>
    <n v="3589.32"/>
    <n v="4"/>
    <n v="0"/>
    <n v="14357.28"/>
    <n v="2983.23"/>
  </r>
  <r>
    <s v="O0220"/>
    <x v="190"/>
    <x v="2"/>
    <s v="C030"/>
    <x v="75"/>
    <s v="Kolkata"/>
    <x v="2"/>
    <d v="2023-10-24T00:00:00"/>
    <s v="P011"/>
    <x v="11"/>
    <x v="0"/>
    <n v="42988.79"/>
    <n v="1"/>
    <n v="0.15"/>
    <n v="36540.47"/>
    <n v="3407.28"/>
  </r>
  <r>
    <s v="O0221"/>
    <x v="56"/>
    <x v="10"/>
    <s v="C020"/>
    <x v="33"/>
    <s v="Noida"/>
    <x v="3"/>
    <d v="2023-04-10T00:00:00"/>
    <s v="P004"/>
    <x v="8"/>
    <x v="1"/>
    <n v="29436.02"/>
    <n v="2"/>
    <n v="0"/>
    <n v="58872.04"/>
    <n v="11235.56"/>
  </r>
  <r>
    <s v="O0222"/>
    <x v="191"/>
    <x v="3"/>
    <s v="C084"/>
    <x v="57"/>
    <s v="Delhi"/>
    <x v="3"/>
    <d v="2023-04-25T00:00:00"/>
    <s v="P004"/>
    <x v="8"/>
    <x v="1"/>
    <n v="29436.02"/>
    <n v="3"/>
    <n v="0.1"/>
    <n v="79477.25"/>
    <n v="20490.14"/>
  </r>
  <r>
    <s v="O0223"/>
    <x v="192"/>
    <x v="2"/>
    <s v="C023"/>
    <x v="79"/>
    <s v="Delhi"/>
    <x v="3"/>
    <d v="2024-04-15T00:00:00"/>
    <s v="P010"/>
    <x v="7"/>
    <x v="2"/>
    <n v="45275.73"/>
    <n v="1"/>
    <n v="0.2"/>
    <n v="36220.58"/>
    <n v="5381.28"/>
  </r>
  <r>
    <s v="O0224"/>
    <x v="193"/>
    <x v="3"/>
    <s v="C087"/>
    <x v="45"/>
    <s v="Kolkata"/>
    <x v="2"/>
    <d v="2024-08-03T00:00:00"/>
    <s v="P009"/>
    <x v="12"/>
    <x v="2"/>
    <n v="11485.64"/>
    <n v="5"/>
    <n v="0.05"/>
    <n v="54556.79"/>
    <n v="18344.28"/>
  </r>
  <r>
    <s v="O0225"/>
    <x v="194"/>
    <x v="10"/>
    <s v="C008"/>
    <x v="48"/>
    <s v="Mumbai"/>
    <x v="1"/>
    <d v="2023-08-12T00:00:00"/>
    <s v="P001"/>
    <x v="2"/>
    <x v="1"/>
    <n v="6094.16"/>
    <n v="4"/>
    <n v="0.2"/>
    <n v="19501.310000000001"/>
    <n v="4140.22"/>
  </r>
  <r>
    <s v="O0226"/>
    <x v="195"/>
    <x v="3"/>
    <s v="C037"/>
    <x v="1"/>
    <s v="Hyderabad"/>
    <x v="0"/>
    <d v="2024-12-19T00:00:00"/>
    <s v="P007"/>
    <x v="4"/>
    <x v="2"/>
    <n v="3596.1"/>
    <n v="1"/>
    <n v="0"/>
    <n v="3596.1"/>
    <n v="860.72"/>
  </r>
  <r>
    <s v="O0227"/>
    <x v="196"/>
    <x v="1"/>
    <s v="C084"/>
    <x v="57"/>
    <s v="Delhi"/>
    <x v="3"/>
    <d v="2023-04-25T00:00:00"/>
    <s v="P007"/>
    <x v="4"/>
    <x v="2"/>
    <n v="3596.1"/>
    <n v="2"/>
    <n v="0.15"/>
    <n v="6113.37"/>
    <n v="471.43"/>
  </r>
  <r>
    <s v="O0228"/>
    <x v="197"/>
    <x v="2"/>
    <s v="C031"/>
    <x v="54"/>
    <s v="Mumbai"/>
    <x v="1"/>
    <d v="2023-08-27T00:00:00"/>
    <s v="P013"/>
    <x v="3"/>
    <x v="0"/>
    <n v="11938.33"/>
    <n v="1"/>
    <n v="0.05"/>
    <n v="11341.41"/>
    <n v="1133.1099999999999"/>
  </r>
  <r>
    <s v="O0229"/>
    <x v="198"/>
    <x v="9"/>
    <s v="C071"/>
    <x v="67"/>
    <s v="Pune"/>
    <x v="1"/>
    <d v="2023-04-25T00:00:00"/>
    <s v="P005"/>
    <x v="13"/>
    <x v="1"/>
    <n v="11544.23"/>
    <n v="1"/>
    <n v="0"/>
    <n v="11544.23"/>
    <n v="1700.61"/>
  </r>
  <r>
    <s v="O0230"/>
    <x v="199"/>
    <x v="8"/>
    <s v="C010"/>
    <x v="40"/>
    <s v="Jaipur"/>
    <x v="3"/>
    <d v="2023-01-28T00:00:00"/>
    <s v="P001"/>
    <x v="2"/>
    <x v="1"/>
    <n v="6094.16"/>
    <n v="3"/>
    <n v="0"/>
    <n v="18282.48"/>
    <n v="2970.03"/>
  </r>
  <r>
    <s v="O0231"/>
    <x v="200"/>
    <x v="2"/>
    <s v="C072"/>
    <x v="0"/>
    <s v="Hyderabad"/>
    <x v="0"/>
    <d v="2024-03-21T00:00:00"/>
    <s v="P012"/>
    <x v="0"/>
    <x v="0"/>
    <n v="3589.32"/>
    <n v="2"/>
    <n v="0.1"/>
    <n v="6460.78"/>
    <n v="1121.69"/>
  </r>
  <r>
    <s v="O0232"/>
    <x v="150"/>
    <x v="10"/>
    <s v="C004"/>
    <x v="17"/>
    <s v="Mumbai"/>
    <x v="1"/>
    <d v="2024-11-23T00:00:00"/>
    <s v="P010"/>
    <x v="7"/>
    <x v="2"/>
    <n v="45275.73"/>
    <n v="2"/>
    <n v="0"/>
    <n v="90551.46"/>
    <n v="9283.41"/>
  </r>
  <r>
    <s v="O0233"/>
    <x v="201"/>
    <x v="8"/>
    <s v="C070"/>
    <x v="92"/>
    <s v="Chennai"/>
    <x v="0"/>
    <d v="2023-10-01T00:00:00"/>
    <s v="P012"/>
    <x v="0"/>
    <x v="0"/>
    <n v="3589.32"/>
    <n v="4"/>
    <n v="0.1"/>
    <n v="12921.55"/>
    <n v="3294.22"/>
  </r>
  <r>
    <s v="O0234"/>
    <x v="202"/>
    <x v="3"/>
    <s v="C057"/>
    <x v="61"/>
    <s v="Pune"/>
    <x v="1"/>
    <d v="2023-08-13T00:00:00"/>
    <s v="P006"/>
    <x v="5"/>
    <x v="2"/>
    <n v="11049.86"/>
    <n v="5"/>
    <n v="0"/>
    <n v="55249.3"/>
    <n v="6610.94"/>
  </r>
  <r>
    <s v="O0235"/>
    <x v="203"/>
    <x v="7"/>
    <s v="C020"/>
    <x v="33"/>
    <s v="Noida"/>
    <x v="3"/>
    <d v="2023-04-10T00:00:00"/>
    <s v="P015"/>
    <x v="6"/>
    <x v="0"/>
    <n v="10751.13"/>
    <n v="3"/>
    <n v="0.05"/>
    <n v="30640.720000000001"/>
    <n v="3879.05"/>
  </r>
  <r>
    <s v="O0236"/>
    <x v="204"/>
    <x v="11"/>
    <s v="C046"/>
    <x v="11"/>
    <s v="Pune"/>
    <x v="1"/>
    <d v="2024-02-15T00:00:00"/>
    <s v="P007"/>
    <x v="4"/>
    <x v="2"/>
    <n v="3596.1"/>
    <n v="4"/>
    <n v="0"/>
    <n v="14384.4"/>
    <n v="3643.33"/>
  </r>
  <r>
    <s v="O0237"/>
    <x v="183"/>
    <x v="0"/>
    <s v="C055"/>
    <x v="38"/>
    <s v="Jaipur"/>
    <x v="3"/>
    <d v="2024-03-14T00:00:00"/>
    <s v="P001"/>
    <x v="2"/>
    <x v="1"/>
    <n v="6094.16"/>
    <n v="1"/>
    <n v="0.05"/>
    <n v="5789.45"/>
    <n v="1931.19"/>
  </r>
  <r>
    <s v="O0238"/>
    <x v="133"/>
    <x v="4"/>
    <s v="C028"/>
    <x v="23"/>
    <s v="Jaipur"/>
    <x v="3"/>
    <d v="2023-07-16T00:00:00"/>
    <s v="P010"/>
    <x v="7"/>
    <x v="2"/>
    <n v="45275.73"/>
    <n v="3"/>
    <n v="0.15"/>
    <n v="115453.11"/>
    <n v="39093.43"/>
  </r>
  <r>
    <s v="O0239"/>
    <x v="205"/>
    <x v="5"/>
    <s v="C043"/>
    <x v="65"/>
    <s v="Chennai"/>
    <x v="0"/>
    <d v="2023-08-13T00:00:00"/>
    <s v="P009"/>
    <x v="12"/>
    <x v="2"/>
    <n v="11485.64"/>
    <n v="3"/>
    <n v="0.05"/>
    <n v="32734.07"/>
    <n v="9937.77"/>
  </r>
  <r>
    <s v="O0240"/>
    <x v="11"/>
    <x v="0"/>
    <s v="C060"/>
    <x v="74"/>
    <s v="Delhi"/>
    <x v="3"/>
    <d v="2023-04-23T00:00:00"/>
    <s v="P013"/>
    <x v="3"/>
    <x v="0"/>
    <n v="11938.33"/>
    <n v="4"/>
    <n v="0.2"/>
    <n v="38202.660000000003"/>
    <n v="7448.08"/>
  </r>
  <r>
    <s v="O0241"/>
    <x v="206"/>
    <x v="3"/>
    <s v="C005"/>
    <x v="19"/>
    <s v="Chennai"/>
    <x v="0"/>
    <d v="2023-03-31T00:00:00"/>
    <s v="P003"/>
    <x v="10"/>
    <x v="1"/>
    <n v="16937.37"/>
    <n v="4"/>
    <n v="0.1"/>
    <n v="60974.53"/>
    <n v="9614.94"/>
  </r>
  <r>
    <s v="O0242"/>
    <x v="2"/>
    <x v="2"/>
    <s v="C086"/>
    <x v="3"/>
    <s v="Kolkata"/>
    <x v="2"/>
    <d v="2023-03-01T00:00:00"/>
    <s v="P015"/>
    <x v="6"/>
    <x v="0"/>
    <n v="10751.13"/>
    <n v="3"/>
    <n v="0"/>
    <n v="32253.39"/>
    <n v="11075.28"/>
  </r>
  <r>
    <s v="O0243"/>
    <x v="207"/>
    <x v="4"/>
    <s v="C058"/>
    <x v="28"/>
    <s v="Bengaluru"/>
    <x v="0"/>
    <d v="2024-06-05T00:00:00"/>
    <s v="P012"/>
    <x v="0"/>
    <x v="0"/>
    <n v="3589.32"/>
    <n v="4"/>
    <n v="0"/>
    <n v="14357.28"/>
    <n v="752.74"/>
  </r>
  <r>
    <s v="O0244"/>
    <x v="67"/>
    <x v="3"/>
    <s v="C007"/>
    <x v="56"/>
    <s v="Delhi"/>
    <x v="3"/>
    <d v="2023-01-31T00:00:00"/>
    <s v="P008"/>
    <x v="9"/>
    <x v="2"/>
    <n v="31573.59"/>
    <n v="1"/>
    <n v="0.1"/>
    <n v="28416.23"/>
    <n v="7773.31"/>
  </r>
  <r>
    <s v="O0245"/>
    <x v="208"/>
    <x v="0"/>
    <s v="C045"/>
    <x v="42"/>
    <s v="Kolkata"/>
    <x v="2"/>
    <d v="2023-02-02T00:00:00"/>
    <s v="P009"/>
    <x v="12"/>
    <x v="2"/>
    <n v="11485.64"/>
    <n v="2"/>
    <n v="0.1"/>
    <n v="20674.150000000001"/>
    <n v="6007.49"/>
  </r>
  <r>
    <s v="O0246"/>
    <x v="209"/>
    <x v="2"/>
    <s v="C096"/>
    <x v="81"/>
    <s v="Chennai"/>
    <x v="0"/>
    <d v="2024-12-07T00:00:00"/>
    <s v="P003"/>
    <x v="10"/>
    <x v="1"/>
    <n v="16937.37"/>
    <n v="2"/>
    <n v="0.1"/>
    <n v="30487.27"/>
    <n v="3816.64"/>
  </r>
  <r>
    <s v="O0247"/>
    <x v="210"/>
    <x v="3"/>
    <s v="C078"/>
    <x v="69"/>
    <s v="Chennai"/>
    <x v="0"/>
    <d v="2024-09-15T00:00:00"/>
    <s v="P014"/>
    <x v="14"/>
    <x v="0"/>
    <n v="33465.440000000002"/>
    <n v="2"/>
    <n v="0.15"/>
    <n v="56891.25"/>
    <n v="4502.8999999999996"/>
  </r>
  <r>
    <s v="O0248"/>
    <x v="211"/>
    <x v="9"/>
    <s v="C050"/>
    <x v="93"/>
    <s v="Gurugram"/>
    <x v="3"/>
    <d v="2024-02-10T00:00:00"/>
    <s v="P013"/>
    <x v="3"/>
    <x v="0"/>
    <n v="11938.33"/>
    <n v="1"/>
    <n v="0"/>
    <n v="11938.33"/>
    <n v="3421.32"/>
  </r>
  <r>
    <s v="O0249"/>
    <x v="212"/>
    <x v="1"/>
    <s v="C097"/>
    <x v="84"/>
    <s v="Kolkata"/>
    <x v="2"/>
    <d v="2024-12-31T00:00:00"/>
    <s v="P001"/>
    <x v="2"/>
    <x v="1"/>
    <n v="6094.16"/>
    <n v="5"/>
    <n v="0"/>
    <n v="30470.799999999999"/>
    <n v="8218.2199999999993"/>
  </r>
  <r>
    <s v="O0250"/>
    <x v="165"/>
    <x v="11"/>
    <s v="C008"/>
    <x v="48"/>
    <s v="Mumbai"/>
    <x v="1"/>
    <d v="2023-08-12T00:00:00"/>
    <s v="P002"/>
    <x v="1"/>
    <x v="1"/>
    <n v="11273.63"/>
    <n v="3"/>
    <n v="0"/>
    <n v="33820.89"/>
    <n v="9275.18"/>
  </r>
  <r>
    <s v="O0251"/>
    <x v="213"/>
    <x v="7"/>
    <s v="C039"/>
    <x v="32"/>
    <s v="Bengaluru"/>
    <x v="0"/>
    <d v="2024-06-30T00:00:00"/>
    <s v="P009"/>
    <x v="12"/>
    <x v="2"/>
    <n v="11485.64"/>
    <n v="2"/>
    <n v="0"/>
    <n v="22971.279999999999"/>
    <n v="6568.73"/>
  </r>
  <r>
    <s v="O0252"/>
    <x v="214"/>
    <x v="11"/>
    <s v="C032"/>
    <x v="43"/>
    <s v="Mumbai"/>
    <x v="1"/>
    <d v="2024-01-25T00:00:00"/>
    <s v="P010"/>
    <x v="7"/>
    <x v="2"/>
    <n v="45275.73"/>
    <n v="5"/>
    <n v="0.1"/>
    <n v="203740.79"/>
    <n v="66021.41"/>
  </r>
  <r>
    <s v="O0253"/>
    <x v="206"/>
    <x v="3"/>
    <s v="C078"/>
    <x v="69"/>
    <s v="Chennai"/>
    <x v="0"/>
    <d v="2024-09-15T00:00:00"/>
    <s v="P006"/>
    <x v="5"/>
    <x v="2"/>
    <n v="11049.86"/>
    <n v="3"/>
    <n v="0.2"/>
    <n v="26519.66"/>
    <n v="8837.84"/>
  </r>
  <r>
    <s v="O0254"/>
    <x v="8"/>
    <x v="6"/>
    <s v="C067"/>
    <x v="47"/>
    <s v="Hyderabad"/>
    <x v="0"/>
    <d v="2024-07-20T00:00:00"/>
    <s v="P015"/>
    <x v="6"/>
    <x v="0"/>
    <n v="10751.13"/>
    <n v="3"/>
    <n v="0.2"/>
    <n v="25802.71"/>
    <n v="2181.64"/>
  </r>
  <r>
    <s v="O0255"/>
    <x v="215"/>
    <x v="2"/>
    <s v="C004"/>
    <x v="17"/>
    <s v="Mumbai"/>
    <x v="1"/>
    <d v="2024-11-23T00:00:00"/>
    <s v="P012"/>
    <x v="0"/>
    <x v="0"/>
    <n v="3589.32"/>
    <n v="2"/>
    <n v="0.2"/>
    <n v="5742.91"/>
    <n v="1952.3"/>
  </r>
  <r>
    <s v="O0256"/>
    <x v="213"/>
    <x v="7"/>
    <s v="C012"/>
    <x v="31"/>
    <s v="Chennai"/>
    <x v="0"/>
    <d v="2024-03-05T00:00:00"/>
    <s v="P003"/>
    <x v="10"/>
    <x v="1"/>
    <n v="16937.37"/>
    <n v="4"/>
    <n v="0.2"/>
    <n v="54199.58"/>
    <n v="15792.47"/>
  </r>
  <r>
    <s v="O0257"/>
    <x v="36"/>
    <x v="10"/>
    <s v="C046"/>
    <x v="11"/>
    <s v="Pune"/>
    <x v="1"/>
    <d v="2024-02-15T00:00:00"/>
    <s v="P011"/>
    <x v="11"/>
    <x v="0"/>
    <n v="42988.79"/>
    <n v="1"/>
    <n v="0.2"/>
    <n v="34391.03"/>
    <n v="5790.5"/>
  </r>
  <r>
    <s v="O0258"/>
    <x v="164"/>
    <x v="2"/>
    <s v="C021"/>
    <x v="29"/>
    <s v="Pune"/>
    <x v="1"/>
    <d v="2023-12-19T00:00:00"/>
    <s v="P001"/>
    <x v="2"/>
    <x v="1"/>
    <n v="6094.16"/>
    <n v="5"/>
    <n v="0"/>
    <n v="30470.799999999999"/>
    <n v="5680.85"/>
  </r>
  <r>
    <s v="O0259"/>
    <x v="202"/>
    <x v="3"/>
    <s v="C016"/>
    <x v="4"/>
    <s v="Noida"/>
    <x v="3"/>
    <d v="2023-12-15T00:00:00"/>
    <s v="P014"/>
    <x v="14"/>
    <x v="0"/>
    <n v="33465.440000000002"/>
    <n v="3"/>
    <n v="0.1"/>
    <n v="90356.69"/>
    <n v="14846.3"/>
  </r>
  <r>
    <s v="O0260"/>
    <x v="216"/>
    <x v="1"/>
    <s v="C002"/>
    <x v="52"/>
    <s v="Hyderabad"/>
    <x v="0"/>
    <d v="2023-09-08T00:00:00"/>
    <s v="P012"/>
    <x v="0"/>
    <x v="0"/>
    <n v="3589.32"/>
    <n v="3"/>
    <n v="0"/>
    <n v="10767.96"/>
    <n v="2718.38"/>
  </r>
  <r>
    <s v="O0261"/>
    <x v="217"/>
    <x v="5"/>
    <s v="C023"/>
    <x v="79"/>
    <s v="Delhi"/>
    <x v="3"/>
    <d v="2024-04-15T00:00:00"/>
    <s v="P012"/>
    <x v="0"/>
    <x v="0"/>
    <n v="3589.32"/>
    <n v="1"/>
    <n v="0.1"/>
    <n v="3230.39"/>
    <n v="1018.45"/>
  </r>
  <r>
    <s v="O0262"/>
    <x v="218"/>
    <x v="6"/>
    <s v="C029"/>
    <x v="85"/>
    <s v="Mumbai"/>
    <x v="1"/>
    <d v="2023-02-16T00:00:00"/>
    <s v="P009"/>
    <x v="12"/>
    <x v="2"/>
    <n v="11485.64"/>
    <n v="3"/>
    <n v="0.1"/>
    <n v="31011.23"/>
    <n v="3610.02"/>
  </r>
  <r>
    <s v="O0263"/>
    <x v="64"/>
    <x v="9"/>
    <s v="C015"/>
    <x v="35"/>
    <s v="Delhi"/>
    <x v="3"/>
    <d v="2023-06-13T00:00:00"/>
    <s v="P009"/>
    <x v="12"/>
    <x v="2"/>
    <n v="11485.64"/>
    <n v="4"/>
    <n v="0.15"/>
    <n v="39051.18"/>
    <n v="5492.82"/>
  </r>
  <r>
    <s v="O0264"/>
    <x v="219"/>
    <x v="9"/>
    <s v="C045"/>
    <x v="42"/>
    <s v="Kolkata"/>
    <x v="2"/>
    <d v="2023-02-02T00:00:00"/>
    <s v="P013"/>
    <x v="3"/>
    <x v="0"/>
    <n v="11938.33"/>
    <n v="1"/>
    <n v="0"/>
    <n v="11938.33"/>
    <n v="759.33"/>
  </r>
  <r>
    <s v="O0265"/>
    <x v="21"/>
    <x v="0"/>
    <s v="C019"/>
    <x v="83"/>
    <s v="Mumbai"/>
    <x v="1"/>
    <d v="2023-04-05T00:00:00"/>
    <s v="P012"/>
    <x v="0"/>
    <x v="0"/>
    <n v="3589.32"/>
    <n v="3"/>
    <n v="0.05"/>
    <n v="10229.56"/>
    <n v="867.84"/>
  </r>
  <r>
    <s v="O0266"/>
    <x v="220"/>
    <x v="7"/>
    <s v="C076"/>
    <x v="91"/>
    <s v="Chennai"/>
    <x v="0"/>
    <d v="2023-04-19T00:00:00"/>
    <s v="P008"/>
    <x v="9"/>
    <x v="2"/>
    <n v="31573.59"/>
    <n v="5"/>
    <n v="0"/>
    <n v="157867.95000000001"/>
    <n v="26299.81"/>
  </r>
  <r>
    <s v="O0267"/>
    <x v="221"/>
    <x v="11"/>
    <s v="C018"/>
    <x v="53"/>
    <s v="Kolkata"/>
    <x v="2"/>
    <d v="2023-12-11T00:00:00"/>
    <s v="P015"/>
    <x v="6"/>
    <x v="0"/>
    <n v="10751.13"/>
    <n v="5"/>
    <n v="0.05"/>
    <n v="51067.87"/>
    <n v="11551.66"/>
  </r>
  <r>
    <s v="O0268"/>
    <x v="118"/>
    <x v="8"/>
    <s v="C061"/>
    <x v="36"/>
    <s v="Bengaluru"/>
    <x v="0"/>
    <d v="2024-10-04T00:00:00"/>
    <s v="P007"/>
    <x v="4"/>
    <x v="2"/>
    <n v="3596.1"/>
    <n v="4"/>
    <n v="0.15"/>
    <n v="12226.74"/>
    <n v="974.55"/>
  </r>
  <r>
    <s v="O0269"/>
    <x v="222"/>
    <x v="3"/>
    <s v="C069"/>
    <x v="94"/>
    <s v="Mumbai"/>
    <x v="1"/>
    <d v="2024-11-29T00:00:00"/>
    <s v="P006"/>
    <x v="5"/>
    <x v="2"/>
    <n v="11049.86"/>
    <n v="5"/>
    <n v="0.05"/>
    <n v="52486.84"/>
    <n v="17410.72"/>
  </r>
  <r>
    <s v="O0270"/>
    <x v="223"/>
    <x v="6"/>
    <s v="C045"/>
    <x v="42"/>
    <s v="Kolkata"/>
    <x v="2"/>
    <d v="2023-02-02T00:00:00"/>
    <s v="P011"/>
    <x v="11"/>
    <x v="0"/>
    <n v="42988.79"/>
    <n v="1"/>
    <n v="0.15"/>
    <n v="36540.47"/>
    <n v="5888.83"/>
  </r>
  <r>
    <s v="O0271"/>
    <x v="224"/>
    <x v="1"/>
    <s v="C071"/>
    <x v="67"/>
    <s v="Pune"/>
    <x v="1"/>
    <d v="2023-04-25T00:00:00"/>
    <s v="P005"/>
    <x v="13"/>
    <x v="1"/>
    <n v="11544.23"/>
    <n v="4"/>
    <n v="0"/>
    <n v="46176.92"/>
    <n v="14159.46"/>
  </r>
  <r>
    <s v="O0272"/>
    <x v="225"/>
    <x v="3"/>
    <s v="C055"/>
    <x v="38"/>
    <s v="Jaipur"/>
    <x v="3"/>
    <d v="2024-03-14T00:00:00"/>
    <s v="P013"/>
    <x v="3"/>
    <x v="0"/>
    <n v="11938.33"/>
    <n v="3"/>
    <n v="0.1"/>
    <n v="32233.49"/>
    <n v="10331.120000000001"/>
  </r>
  <r>
    <s v="O0273"/>
    <x v="59"/>
    <x v="5"/>
    <s v="C065"/>
    <x v="68"/>
    <s v="Noida"/>
    <x v="3"/>
    <d v="2024-09-02T00:00:00"/>
    <s v="P015"/>
    <x v="6"/>
    <x v="0"/>
    <n v="10751.13"/>
    <n v="3"/>
    <n v="0"/>
    <n v="32253.39"/>
    <n v="5465.08"/>
  </r>
  <r>
    <s v="O0274"/>
    <x v="226"/>
    <x v="1"/>
    <s v="C020"/>
    <x v="33"/>
    <s v="Noida"/>
    <x v="3"/>
    <d v="2023-04-10T00:00:00"/>
    <s v="P006"/>
    <x v="5"/>
    <x v="2"/>
    <n v="11049.86"/>
    <n v="1"/>
    <n v="0.2"/>
    <n v="8839.89"/>
    <n v="2627.72"/>
  </r>
  <r>
    <s v="O0275"/>
    <x v="227"/>
    <x v="7"/>
    <s v="C015"/>
    <x v="35"/>
    <s v="Delhi"/>
    <x v="3"/>
    <d v="2023-06-13T00:00:00"/>
    <s v="P014"/>
    <x v="14"/>
    <x v="0"/>
    <n v="33465.440000000002"/>
    <n v="2"/>
    <n v="0.15"/>
    <n v="56891.25"/>
    <n v="13759.03"/>
  </r>
  <r>
    <s v="O0276"/>
    <x v="228"/>
    <x v="8"/>
    <s v="C066"/>
    <x v="25"/>
    <s v="Gurugram"/>
    <x v="3"/>
    <d v="2024-06-25T00:00:00"/>
    <s v="P011"/>
    <x v="11"/>
    <x v="0"/>
    <n v="42988.79"/>
    <n v="1"/>
    <n v="0.2"/>
    <n v="34391.03"/>
    <n v="5160.47"/>
  </r>
  <r>
    <s v="O0277"/>
    <x v="32"/>
    <x v="5"/>
    <s v="C050"/>
    <x v="93"/>
    <s v="Gurugram"/>
    <x v="3"/>
    <d v="2024-02-10T00:00:00"/>
    <s v="P010"/>
    <x v="7"/>
    <x v="2"/>
    <n v="45275.73"/>
    <n v="5"/>
    <n v="0"/>
    <n v="226378.65"/>
    <n v="15978.49"/>
  </r>
  <r>
    <s v="O0278"/>
    <x v="229"/>
    <x v="0"/>
    <s v="C097"/>
    <x v="84"/>
    <s v="Kolkata"/>
    <x v="2"/>
    <d v="2024-12-31T00:00:00"/>
    <s v="P005"/>
    <x v="13"/>
    <x v="1"/>
    <n v="11544.23"/>
    <n v="2"/>
    <n v="0.1"/>
    <n v="20779.61"/>
    <n v="2385.1999999999998"/>
  </r>
  <r>
    <s v="O0279"/>
    <x v="230"/>
    <x v="10"/>
    <s v="C009"/>
    <x v="30"/>
    <s v="Kolkata"/>
    <x v="2"/>
    <d v="2024-06-01T00:00:00"/>
    <s v="P002"/>
    <x v="1"/>
    <x v="1"/>
    <n v="11273.63"/>
    <n v="3"/>
    <n v="0.2"/>
    <n v="27056.71"/>
    <n v="2550.5300000000002"/>
  </r>
  <r>
    <s v="O0280"/>
    <x v="180"/>
    <x v="8"/>
    <s v="C007"/>
    <x v="56"/>
    <s v="Delhi"/>
    <x v="3"/>
    <d v="2023-01-31T00:00:00"/>
    <s v="P001"/>
    <x v="2"/>
    <x v="1"/>
    <n v="6094.16"/>
    <n v="1"/>
    <n v="0"/>
    <n v="6094.16"/>
    <n v="1874.09"/>
  </r>
  <r>
    <s v="O0281"/>
    <x v="231"/>
    <x v="11"/>
    <s v="C069"/>
    <x v="94"/>
    <s v="Mumbai"/>
    <x v="1"/>
    <d v="2024-11-29T00:00:00"/>
    <s v="P014"/>
    <x v="14"/>
    <x v="0"/>
    <n v="33465.440000000002"/>
    <n v="2"/>
    <n v="0.1"/>
    <n v="60237.79"/>
    <n v="7541.55"/>
  </r>
  <r>
    <s v="O0282"/>
    <x v="26"/>
    <x v="8"/>
    <s v="C062"/>
    <x v="50"/>
    <s v="Bengaluru"/>
    <x v="0"/>
    <d v="2024-11-27T00:00:00"/>
    <s v="P015"/>
    <x v="6"/>
    <x v="0"/>
    <n v="10751.13"/>
    <n v="1"/>
    <n v="0.15"/>
    <n v="9138.4599999999991"/>
    <n v="2832.32"/>
  </r>
  <r>
    <s v="O0283"/>
    <x v="232"/>
    <x v="0"/>
    <s v="C083"/>
    <x v="95"/>
    <s v="Pune"/>
    <x v="1"/>
    <d v="2024-05-15T00:00:00"/>
    <s v="P006"/>
    <x v="5"/>
    <x v="2"/>
    <n v="11049.86"/>
    <n v="1"/>
    <n v="0"/>
    <n v="11049.86"/>
    <n v="3171.26"/>
  </r>
  <r>
    <s v="O0284"/>
    <x v="56"/>
    <x v="10"/>
    <s v="C005"/>
    <x v="19"/>
    <s v="Chennai"/>
    <x v="0"/>
    <d v="2023-03-31T00:00:00"/>
    <s v="P007"/>
    <x v="4"/>
    <x v="2"/>
    <n v="3596.1"/>
    <n v="5"/>
    <n v="0"/>
    <n v="17980.5"/>
    <n v="984.15"/>
  </r>
  <r>
    <s v="O0285"/>
    <x v="233"/>
    <x v="11"/>
    <s v="C079"/>
    <x v="66"/>
    <s v="Kolkata"/>
    <x v="2"/>
    <d v="2023-06-06T00:00:00"/>
    <s v="P001"/>
    <x v="2"/>
    <x v="1"/>
    <n v="6094.16"/>
    <n v="1"/>
    <n v="0"/>
    <n v="6094.16"/>
    <n v="1660.75"/>
  </r>
  <r>
    <s v="O0286"/>
    <x v="234"/>
    <x v="1"/>
    <s v="C087"/>
    <x v="45"/>
    <s v="Kolkata"/>
    <x v="2"/>
    <d v="2024-08-03T00:00:00"/>
    <s v="P010"/>
    <x v="7"/>
    <x v="2"/>
    <n v="45275.73"/>
    <n v="1"/>
    <n v="0.15"/>
    <n v="38484.370000000003"/>
    <n v="2658.02"/>
  </r>
  <r>
    <s v="O0287"/>
    <x v="235"/>
    <x v="1"/>
    <s v="C020"/>
    <x v="33"/>
    <s v="Noida"/>
    <x v="3"/>
    <d v="2023-04-10T00:00:00"/>
    <s v="P004"/>
    <x v="8"/>
    <x v="1"/>
    <n v="29436.02"/>
    <n v="3"/>
    <n v="0.1"/>
    <n v="79477.25"/>
    <n v="18128.75"/>
  </r>
  <r>
    <s v="O0288"/>
    <x v="236"/>
    <x v="9"/>
    <s v="C009"/>
    <x v="30"/>
    <s v="Kolkata"/>
    <x v="2"/>
    <d v="2024-06-01T00:00:00"/>
    <s v="P012"/>
    <x v="0"/>
    <x v="0"/>
    <n v="3589.32"/>
    <n v="5"/>
    <n v="0"/>
    <n v="17946.599999999999"/>
    <n v="5987.43"/>
  </r>
  <r>
    <s v="O0289"/>
    <x v="237"/>
    <x v="9"/>
    <s v="C092"/>
    <x v="22"/>
    <s v="Gurugram"/>
    <x v="3"/>
    <d v="2024-07-16T00:00:00"/>
    <s v="P011"/>
    <x v="11"/>
    <x v="0"/>
    <n v="42988.79"/>
    <n v="5"/>
    <n v="0"/>
    <n v="214943.95"/>
    <n v="40283.24"/>
  </r>
  <r>
    <s v="O0290"/>
    <x v="238"/>
    <x v="6"/>
    <s v="C023"/>
    <x v="79"/>
    <s v="Delhi"/>
    <x v="3"/>
    <d v="2024-04-15T00:00:00"/>
    <s v="P011"/>
    <x v="11"/>
    <x v="0"/>
    <n v="42988.79"/>
    <n v="1"/>
    <n v="0.05"/>
    <n v="40839.35"/>
    <n v="12422.9"/>
  </r>
  <r>
    <s v="O0291"/>
    <x v="223"/>
    <x v="6"/>
    <s v="C090"/>
    <x v="27"/>
    <s v="Chennai"/>
    <x v="0"/>
    <d v="2023-05-09T00:00:00"/>
    <s v="P004"/>
    <x v="8"/>
    <x v="1"/>
    <n v="29436.02"/>
    <n v="1"/>
    <n v="0.05"/>
    <n v="27964.22"/>
    <n v="7374.74"/>
  </r>
  <r>
    <s v="O0292"/>
    <x v="76"/>
    <x v="8"/>
    <s v="C030"/>
    <x v="75"/>
    <s v="Kolkata"/>
    <x v="2"/>
    <d v="2023-10-24T00:00:00"/>
    <s v="P005"/>
    <x v="13"/>
    <x v="1"/>
    <n v="11544.23"/>
    <n v="1"/>
    <n v="0"/>
    <n v="11544.23"/>
    <n v="1692.77"/>
  </r>
  <r>
    <s v="O0293"/>
    <x v="71"/>
    <x v="3"/>
    <s v="C066"/>
    <x v="25"/>
    <s v="Gurugram"/>
    <x v="3"/>
    <d v="2024-06-25T00:00:00"/>
    <s v="P005"/>
    <x v="13"/>
    <x v="1"/>
    <n v="11544.23"/>
    <n v="1"/>
    <n v="0"/>
    <n v="11544.23"/>
    <n v="1529.67"/>
  </r>
  <r>
    <s v="O0294"/>
    <x v="239"/>
    <x v="7"/>
    <s v="C078"/>
    <x v="69"/>
    <s v="Chennai"/>
    <x v="0"/>
    <d v="2024-09-15T00:00:00"/>
    <s v="P001"/>
    <x v="2"/>
    <x v="1"/>
    <n v="6094.16"/>
    <n v="5"/>
    <n v="0.1"/>
    <n v="27423.72"/>
    <n v="7230.15"/>
  </r>
  <r>
    <s v="O0295"/>
    <x v="240"/>
    <x v="11"/>
    <s v="C038"/>
    <x v="58"/>
    <s v="Mumbai"/>
    <x v="1"/>
    <d v="2024-09-15T00:00:00"/>
    <s v="P003"/>
    <x v="10"/>
    <x v="1"/>
    <n v="16937.37"/>
    <n v="5"/>
    <n v="0.1"/>
    <n v="76218.16"/>
    <n v="10553.88"/>
  </r>
  <r>
    <s v="O0296"/>
    <x v="125"/>
    <x v="4"/>
    <s v="C050"/>
    <x v="93"/>
    <s v="Gurugram"/>
    <x v="3"/>
    <d v="2024-02-10T00:00:00"/>
    <s v="P003"/>
    <x v="10"/>
    <x v="1"/>
    <n v="16937.37"/>
    <n v="5"/>
    <n v="0.05"/>
    <n v="80452.509999999995"/>
    <n v="6416.37"/>
  </r>
  <r>
    <s v="O0297"/>
    <x v="40"/>
    <x v="5"/>
    <s v="C079"/>
    <x v="66"/>
    <s v="Kolkata"/>
    <x v="2"/>
    <d v="2023-06-06T00:00:00"/>
    <s v="P001"/>
    <x v="2"/>
    <x v="1"/>
    <n v="6094.16"/>
    <n v="1"/>
    <n v="0.2"/>
    <n v="4875.33"/>
    <n v="1201.3499999999999"/>
  </r>
  <r>
    <s v="O0298"/>
    <x v="52"/>
    <x v="0"/>
    <s v="C040"/>
    <x v="63"/>
    <s v="Kolkata"/>
    <x v="2"/>
    <d v="2023-06-17T00:00:00"/>
    <s v="P001"/>
    <x v="2"/>
    <x v="1"/>
    <n v="6094.16"/>
    <n v="2"/>
    <n v="0.05"/>
    <n v="11578.9"/>
    <n v="2147.5"/>
  </r>
  <r>
    <s v="O0299"/>
    <x v="53"/>
    <x v="9"/>
    <s v="C066"/>
    <x v="25"/>
    <s v="Gurugram"/>
    <x v="3"/>
    <d v="2024-06-25T00:00:00"/>
    <s v="P001"/>
    <x v="2"/>
    <x v="1"/>
    <n v="6094.16"/>
    <n v="4"/>
    <n v="0"/>
    <n v="24376.639999999999"/>
    <n v="7269.74"/>
  </r>
  <r>
    <s v="O0300"/>
    <x v="241"/>
    <x v="6"/>
    <s v="C031"/>
    <x v="54"/>
    <s v="Mumbai"/>
    <x v="1"/>
    <d v="2023-08-27T00:00:00"/>
    <s v="P003"/>
    <x v="10"/>
    <x v="1"/>
    <n v="16937.37"/>
    <n v="4"/>
    <n v="0.15"/>
    <n v="57587.06"/>
    <n v="4522.07"/>
  </r>
  <r>
    <s v="O0301"/>
    <x v="108"/>
    <x v="11"/>
    <s v="C058"/>
    <x v="28"/>
    <s v="Bengaluru"/>
    <x v="0"/>
    <d v="2024-06-05T00:00:00"/>
    <s v="P015"/>
    <x v="6"/>
    <x v="0"/>
    <n v="10751.13"/>
    <n v="3"/>
    <n v="0.15"/>
    <n v="27415.38"/>
    <n v="3467.14"/>
  </r>
  <r>
    <s v="O0302"/>
    <x v="242"/>
    <x v="6"/>
    <s v="C061"/>
    <x v="36"/>
    <s v="Bengaluru"/>
    <x v="0"/>
    <d v="2024-10-04T00:00:00"/>
    <s v="P010"/>
    <x v="7"/>
    <x v="2"/>
    <n v="45275.73"/>
    <n v="4"/>
    <n v="0"/>
    <n v="181102.92"/>
    <n v="14011.47"/>
  </r>
  <r>
    <s v="O0303"/>
    <x v="243"/>
    <x v="7"/>
    <s v="C094"/>
    <x v="78"/>
    <s v="Chennai"/>
    <x v="0"/>
    <d v="2024-09-13T00:00:00"/>
    <s v="P001"/>
    <x v="2"/>
    <x v="1"/>
    <n v="6094.16"/>
    <n v="1"/>
    <n v="0.05"/>
    <n v="5789.45"/>
    <n v="457.19"/>
  </r>
  <r>
    <s v="O0304"/>
    <x v="244"/>
    <x v="5"/>
    <s v="C074"/>
    <x v="20"/>
    <s v="Delhi"/>
    <x v="3"/>
    <d v="2023-09-27T00:00:00"/>
    <s v="P012"/>
    <x v="0"/>
    <x v="0"/>
    <n v="3589.32"/>
    <n v="2"/>
    <n v="0.1"/>
    <n v="6460.78"/>
    <n v="439.3"/>
  </r>
  <r>
    <s v="O0305"/>
    <x v="185"/>
    <x v="9"/>
    <s v="C096"/>
    <x v="81"/>
    <s v="Chennai"/>
    <x v="0"/>
    <d v="2024-12-07T00:00:00"/>
    <s v="P008"/>
    <x v="9"/>
    <x v="2"/>
    <n v="31573.59"/>
    <n v="5"/>
    <n v="0"/>
    <n v="157867.95000000001"/>
    <n v="39625.480000000003"/>
  </r>
  <r>
    <s v="O0306"/>
    <x v="245"/>
    <x v="6"/>
    <s v="C071"/>
    <x v="67"/>
    <s v="Pune"/>
    <x v="1"/>
    <d v="2023-04-25T00:00:00"/>
    <s v="P007"/>
    <x v="4"/>
    <x v="2"/>
    <n v="3596.1"/>
    <n v="3"/>
    <n v="0.2"/>
    <n v="8630.64"/>
    <n v="2154.23"/>
  </r>
  <r>
    <s v="O0307"/>
    <x v="94"/>
    <x v="4"/>
    <s v="C046"/>
    <x v="11"/>
    <s v="Pune"/>
    <x v="1"/>
    <d v="2024-02-15T00:00:00"/>
    <s v="P009"/>
    <x v="12"/>
    <x v="2"/>
    <n v="11485.64"/>
    <n v="1"/>
    <n v="0"/>
    <n v="11485.64"/>
    <n v="2643.11"/>
  </r>
  <r>
    <s v="O0308"/>
    <x v="221"/>
    <x v="11"/>
    <s v="C099"/>
    <x v="70"/>
    <s v="Pune"/>
    <x v="1"/>
    <d v="2024-03-24T00:00:00"/>
    <s v="P002"/>
    <x v="1"/>
    <x v="1"/>
    <n v="11273.63"/>
    <n v="1"/>
    <n v="0.1"/>
    <n v="10146.27"/>
    <n v="2051.8200000000002"/>
  </r>
  <r>
    <s v="O0309"/>
    <x v="105"/>
    <x v="4"/>
    <s v="C010"/>
    <x v="40"/>
    <s v="Jaipur"/>
    <x v="3"/>
    <d v="2023-01-28T00:00:00"/>
    <s v="P012"/>
    <x v="0"/>
    <x v="0"/>
    <n v="3589.32"/>
    <n v="4"/>
    <n v="0"/>
    <n v="14357.28"/>
    <n v="4367.2299999999996"/>
  </r>
  <r>
    <s v="O0310"/>
    <x v="7"/>
    <x v="3"/>
    <s v="C094"/>
    <x v="78"/>
    <s v="Chennai"/>
    <x v="0"/>
    <d v="2024-09-13T00:00:00"/>
    <s v="P007"/>
    <x v="4"/>
    <x v="2"/>
    <n v="3596.1"/>
    <n v="5"/>
    <n v="0"/>
    <n v="17980.5"/>
    <n v="1518.73"/>
  </r>
  <r>
    <s v="O0311"/>
    <x v="217"/>
    <x v="5"/>
    <s v="C066"/>
    <x v="25"/>
    <s v="Gurugram"/>
    <x v="3"/>
    <d v="2024-06-25T00:00:00"/>
    <s v="P012"/>
    <x v="0"/>
    <x v="0"/>
    <n v="3589.32"/>
    <n v="5"/>
    <n v="0"/>
    <n v="17946.599999999999"/>
    <n v="5243.39"/>
  </r>
  <r>
    <s v="O0312"/>
    <x v="246"/>
    <x v="5"/>
    <s v="C009"/>
    <x v="30"/>
    <s v="Kolkata"/>
    <x v="2"/>
    <d v="2024-06-01T00:00:00"/>
    <s v="P013"/>
    <x v="3"/>
    <x v="0"/>
    <n v="11938.33"/>
    <n v="5"/>
    <n v="0.1"/>
    <n v="53722.48"/>
    <n v="13564.55"/>
  </r>
  <r>
    <s v="O0313"/>
    <x v="247"/>
    <x v="4"/>
    <s v="C051"/>
    <x v="90"/>
    <s v="Gurugram"/>
    <x v="3"/>
    <d v="2023-05-27T00:00:00"/>
    <s v="P012"/>
    <x v="0"/>
    <x v="0"/>
    <n v="3589.32"/>
    <n v="1"/>
    <n v="0.1"/>
    <n v="3230.39"/>
    <n v="1061.9100000000001"/>
  </r>
  <r>
    <s v="O0314"/>
    <x v="248"/>
    <x v="4"/>
    <s v="C055"/>
    <x v="38"/>
    <s v="Jaipur"/>
    <x v="3"/>
    <d v="2024-03-14T00:00:00"/>
    <s v="P006"/>
    <x v="5"/>
    <x v="2"/>
    <n v="11049.86"/>
    <n v="3"/>
    <n v="0"/>
    <n v="33149.58"/>
    <n v="3451.69"/>
  </r>
  <r>
    <s v="O0315"/>
    <x v="249"/>
    <x v="5"/>
    <s v="C071"/>
    <x v="67"/>
    <s v="Pune"/>
    <x v="1"/>
    <d v="2023-04-25T00:00:00"/>
    <s v="P013"/>
    <x v="3"/>
    <x v="0"/>
    <n v="11938.33"/>
    <n v="3"/>
    <n v="0"/>
    <n v="35814.99"/>
    <n v="5562.32"/>
  </r>
  <r>
    <s v="O0316"/>
    <x v="250"/>
    <x v="6"/>
    <s v="C026"/>
    <x v="37"/>
    <s v="Chennai"/>
    <x v="0"/>
    <d v="2023-10-28T00:00:00"/>
    <s v="P011"/>
    <x v="11"/>
    <x v="0"/>
    <n v="42988.79"/>
    <n v="2"/>
    <n v="0.1"/>
    <n v="77379.820000000007"/>
    <n v="19128.55"/>
  </r>
  <r>
    <s v="O0317"/>
    <x v="237"/>
    <x v="9"/>
    <s v="C026"/>
    <x v="37"/>
    <s v="Chennai"/>
    <x v="0"/>
    <d v="2023-10-28T00:00:00"/>
    <s v="P004"/>
    <x v="8"/>
    <x v="1"/>
    <n v="29436.02"/>
    <n v="2"/>
    <n v="0.15"/>
    <n v="50041.23"/>
    <n v="12007.47"/>
  </r>
  <r>
    <s v="O0318"/>
    <x v="251"/>
    <x v="7"/>
    <s v="C023"/>
    <x v="79"/>
    <s v="Delhi"/>
    <x v="3"/>
    <d v="2024-04-15T00:00:00"/>
    <s v="P002"/>
    <x v="1"/>
    <x v="1"/>
    <n v="11273.63"/>
    <n v="1"/>
    <n v="0.15"/>
    <n v="9582.59"/>
    <n v="2004.15"/>
  </r>
  <r>
    <s v="O0319"/>
    <x v="41"/>
    <x v="7"/>
    <s v="C060"/>
    <x v="74"/>
    <s v="Delhi"/>
    <x v="3"/>
    <d v="2023-04-23T00:00:00"/>
    <s v="P009"/>
    <x v="12"/>
    <x v="2"/>
    <n v="11485.64"/>
    <n v="4"/>
    <n v="0.05"/>
    <n v="43645.43"/>
    <n v="6645.84"/>
  </r>
  <r>
    <s v="O0320"/>
    <x v="252"/>
    <x v="0"/>
    <s v="C100"/>
    <x v="8"/>
    <s v="Chennai"/>
    <x v="0"/>
    <d v="2024-04-07T00:00:00"/>
    <s v="P015"/>
    <x v="6"/>
    <x v="0"/>
    <n v="10751.13"/>
    <n v="3"/>
    <n v="0.15"/>
    <n v="27415.38"/>
    <n v="4038.69"/>
  </r>
  <r>
    <s v="O0321"/>
    <x v="253"/>
    <x v="11"/>
    <s v="C070"/>
    <x v="92"/>
    <s v="Chennai"/>
    <x v="0"/>
    <d v="2023-10-01T00:00:00"/>
    <s v="P015"/>
    <x v="6"/>
    <x v="0"/>
    <n v="10751.13"/>
    <n v="5"/>
    <n v="0"/>
    <n v="53755.65"/>
    <n v="16933.169999999998"/>
  </r>
  <r>
    <s v="O0322"/>
    <x v="192"/>
    <x v="2"/>
    <s v="C059"/>
    <x v="14"/>
    <s v="Gurugram"/>
    <x v="3"/>
    <d v="2023-04-04T00:00:00"/>
    <s v="P010"/>
    <x v="7"/>
    <x v="2"/>
    <n v="45275.73"/>
    <n v="2"/>
    <n v="0.2"/>
    <n v="72441.17"/>
    <n v="17049.13"/>
  </r>
  <r>
    <s v="O0323"/>
    <x v="254"/>
    <x v="6"/>
    <s v="C013"/>
    <x v="71"/>
    <s v="Kolkata"/>
    <x v="2"/>
    <d v="2024-04-04T00:00:00"/>
    <s v="P005"/>
    <x v="13"/>
    <x v="1"/>
    <n v="11544.23"/>
    <n v="1"/>
    <n v="0"/>
    <n v="11544.23"/>
    <n v="2111.83"/>
  </r>
  <r>
    <s v="O0324"/>
    <x v="255"/>
    <x v="3"/>
    <s v="C073"/>
    <x v="73"/>
    <s v="Bengaluru"/>
    <x v="0"/>
    <d v="2024-04-09T00:00:00"/>
    <s v="P001"/>
    <x v="2"/>
    <x v="1"/>
    <n v="6094.16"/>
    <n v="4"/>
    <n v="0.1"/>
    <n v="21938.98"/>
    <n v="4006.35"/>
  </r>
  <r>
    <s v="O0325"/>
    <x v="57"/>
    <x v="4"/>
    <s v="C075"/>
    <x v="96"/>
    <s v="Chennai"/>
    <x v="0"/>
    <d v="2023-07-02T00:00:00"/>
    <s v="P006"/>
    <x v="5"/>
    <x v="2"/>
    <n v="11049.86"/>
    <n v="2"/>
    <n v="0.2"/>
    <n v="17679.78"/>
    <n v="3601.44"/>
  </r>
  <r>
    <s v="O0326"/>
    <x v="256"/>
    <x v="2"/>
    <s v="C062"/>
    <x v="50"/>
    <s v="Bengaluru"/>
    <x v="0"/>
    <d v="2024-11-27T00:00:00"/>
    <s v="P006"/>
    <x v="5"/>
    <x v="2"/>
    <n v="11049.86"/>
    <n v="4"/>
    <n v="0"/>
    <n v="44199.44"/>
    <n v="5965.77"/>
  </r>
  <r>
    <s v="O0327"/>
    <x v="257"/>
    <x v="2"/>
    <s v="C048"/>
    <x v="88"/>
    <s v="Kolkata"/>
    <x v="2"/>
    <d v="2024-08-03T00:00:00"/>
    <s v="P003"/>
    <x v="10"/>
    <x v="1"/>
    <n v="16937.37"/>
    <n v="5"/>
    <n v="0.05"/>
    <n v="80452.509999999995"/>
    <n v="16740.580000000002"/>
  </r>
  <r>
    <s v="O0328"/>
    <x v="258"/>
    <x v="10"/>
    <s v="C034"/>
    <x v="46"/>
    <s v="Pune"/>
    <x v="1"/>
    <d v="2023-06-16T00:00:00"/>
    <s v="P006"/>
    <x v="5"/>
    <x v="2"/>
    <n v="11049.86"/>
    <n v="1"/>
    <n v="0"/>
    <n v="11049.86"/>
    <n v="1862.77"/>
  </r>
  <r>
    <s v="O0329"/>
    <x v="102"/>
    <x v="0"/>
    <s v="C074"/>
    <x v="20"/>
    <s v="Delhi"/>
    <x v="3"/>
    <d v="2023-09-27T00:00:00"/>
    <s v="P003"/>
    <x v="10"/>
    <x v="1"/>
    <n v="16937.37"/>
    <n v="1"/>
    <n v="0"/>
    <n v="16937.37"/>
    <n v="1885.59"/>
  </r>
  <r>
    <s v="O0330"/>
    <x v="259"/>
    <x v="4"/>
    <s v="C073"/>
    <x v="73"/>
    <s v="Bengaluru"/>
    <x v="0"/>
    <d v="2024-04-09T00:00:00"/>
    <s v="P011"/>
    <x v="11"/>
    <x v="0"/>
    <n v="42988.79"/>
    <n v="2"/>
    <n v="0.2"/>
    <n v="68782.06"/>
    <n v="8711.65"/>
  </r>
  <r>
    <s v="O0331"/>
    <x v="260"/>
    <x v="6"/>
    <s v="C042"/>
    <x v="77"/>
    <s v="Hyderabad"/>
    <x v="0"/>
    <d v="2024-10-17T00:00:00"/>
    <s v="P003"/>
    <x v="10"/>
    <x v="1"/>
    <n v="16937.37"/>
    <n v="1"/>
    <n v="0"/>
    <n v="16937.37"/>
    <n v="3374.19"/>
  </r>
  <r>
    <s v="O0332"/>
    <x v="261"/>
    <x v="4"/>
    <s v="C064"/>
    <x v="60"/>
    <s v="Mumbai"/>
    <x v="1"/>
    <d v="2024-01-30T00:00:00"/>
    <s v="P009"/>
    <x v="12"/>
    <x v="2"/>
    <n v="11485.64"/>
    <n v="2"/>
    <n v="0"/>
    <n v="22971.279999999999"/>
    <n v="3768.72"/>
  </r>
  <r>
    <s v="O0333"/>
    <x v="98"/>
    <x v="2"/>
    <s v="C072"/>
    <x v="0"/>
    <s v="Hyderabad"/>
    <x v="0"/>
    <d v="2024-03-21T00:00:00"/>
    <s v="P015"/>
    <x v="6"/>
    <x v="0"/>
    <n v="10751.13"/>
    <n v="2"/>
    <n v="0.1"/>
    <n v="19352.03"/>
    <n v="4211.33"/>
  </r>
  <r>
    <s v="O0334"/>
    <x v="262"/>
    <x v="9"/>
    <s v="C032"/>
    <x v="43"/>
    <s v="Mumbai"/>
    <x v="1"/>
    <d v="2024-01-25T00:00:00"/>
    <s v="P002"/>
    <x v="1"/>
    <x v="1"/>
    <n v="11273.63"/>
    <n v="3"/>
    <n v="0"/>
    <n v="33820.89"/>
    <n v="5719.83"/>
  </r>
  <r>
    <s v="O0335"/>
    <x v="263"/>
    <x v="6"/>
    <s v="C028"/>
    <x v="23"/>
    <s v="Jaipur"/>
    <x v="3"/>
    <d v="2023-07-16T00:00:00"/>
    <s v="P009"/>
    <x v="12"/>
    <x v="2"/>
    <n v="11485.64"/>
    <n v="4"/>
    <n v="0"/>
    <n v="45942.559999999998"/>
    <n v="8633.81"/>
  </r>
  <r>
    <s v="O0336"/>
    <x v="264"/>
    <x v="9"/>
    <s v="C090"/>
    <x v="27"/>
    <s v="Chennai"/>
    <x v="0"/>
    <d v="2023-05-09T00:00:00"/>
    <s v="P014"/>
    <x v="14"/>
    <x v="0"/>
    <n v="33465.440000000002"/>
    <n v="3"/>
    <n v="0.1"/>
    <n v="90356.69"/>
    <n v="16154.45"/>
  </r>
  <r>
    <s v="O0337"/>
    <x v="227"/>
    <x v="7"/>
    <s v="C045"/>
    <x v="42"/>
    <s v="Kolkata"/>
    <x v="2"/>
    <d v="2023-02-02T00:00:00"/>
    <s v="P003"/>
    <x v="10"/>
    <x v="1"/>
    <n v="16937.37"/>
    <n v="4"/>
    <n v="0"/>
    <n v="67749.48"/>
    <n v="5728.35"/>
  </r>
  <r>
    <s v="O0338"/>
    <x v="194"/>
    <x v="10"/>
    <s v="C037"/>
    <x v="1"/>
    <s v="Hyderabad"/>
    <x v="0"/>
    <d v="2024-12-19T00:00:00"/>
    <s v="P010"/>
    <x v="7"/>
    <x v="2"/>
    <n v="45275.73"/>
    <n v="3"/>
    <n v="0"/>
    <n v="135827.19"/>
    <n v="39443.760000000002"/>
  </r>
  <r>
    <s v="O0339"/>
    <x v="174"/>
    <x v="7"/>
    <s v="C028"/>
    <x v="23"/>
    <s v="Jaipur"/>
    <x v="3"/>
    <d v="2023-07-16T00:00:00"/>
    <s v="P009"/>
    <x v="12"/>
    <x v="2"/>
    <n v="11485.64"/>
    <n v="4"/>
    <n v="0.2"/>
    <n v="36754.050000000003"/>
    <n v="9441.49"/>
  </r>
  <r>
    <s v="O0340"/>
    <x v="130"/>
    <x v="10"/>
    <s v="C023"/>
    <x v="79"/>
    <s v="Delhi"/>
    <x v="3"/>
    <d v="2024-04-15T00:00:00"/>
    <s v="P012"/>
    <x v="0"/>
    <x v="0"/>
    <n v="3589.32"/>
    <n v="1"/>
    <n v="0.05"/>
    <n v="3409.85"/>
    <n v="1034.3599999999999"/>
  </r>
  <r>
    <s v="O0341"/>
    <x v="265"/>
    <x v="6"/>
    <s v="C034"/>
    <x v="46"/>
    <s v="Pune"/>
    <x v="1"/>
    <d v="2023-06-16T00:00:00"/>
    <s v="P003"/>
    <x v="10"/>
    <x v="1"/>
    <n v="16937.37"/>
    <n v="4"/>
    <n v="0.1"/>
    <n v="60974.53"/>
    <n v="10373.9"/>
  </r>
  <r>
    <s v="O0342"/>
    <x v="5"/>
    <x v="4"/>
    <s v="C084"/>
    <x v="57"/>
    <s v="Delhi"/>
    <x v="3"/>
    <d v="2023-04-25T00:00:00"/>
    <s v="P004"/>
    <x v="8"/>
    <x v="1"/>
    <n v="29436.02"/>
    <n v="4"/>
    <n v="0.2"/>
    <n v="94195.26"/>
    <n v="13477.68"/>
  </r>
  <r>
    <s v="O0343"/>
    <x v="266"/>
    <x v="6"/>
    <s v="C036"/>
    <x v="12"/>
    <s v="Kolkata"/>
    <x v="2"/>
    <d v="2024-11-17T00:00:00"/>
    <s v="P012"/>
    <x v="0"/>
    <x v="0"/>
    <n v="3589.32"/>
    <n v="2"/>
    <n v="0"/>
    <n v="7178.64"/>
    <n v="2036.83"/>
  </r>
  <r>
    <s v="O0344"/>
    <x v="267"/>
    <x v="11"/>
    <s v="C024"/>
    <x v="34"/>
    <s v="Chennai"/>
    <x v="0"/>
    <d v="2023-05-08T00:00:00"/>
    <s v="P007"/>
    <x v="4"/>
    <x v="2"/>
    <n v="3596.1"/>
    <n v="5"/>
    <n v="0.15"/>
    <n v="15283.42"/>
    <n v="1286.99"/>
  </r>
  <r>
    <s v="O0345"/>
    <x v="225"/>
    <x v="3"/>
    <s v="C021"/>
    <x v="29"/>
    <s v="Pune"/>
    <x v="1"/>
    <d v="2023-12-19T00:00:00"/>
    <s v="P007"/>
    <x v="4"/>
    <x v="2"/>
    <n v="3596.1"/>
    <n v="2"/>
    <n v="0.2"/>
    <n v="5753.76"/>
    <n v="890.75"/>
  </r>
  <r>
    <s v="O0346"/>
    <x v="110"/>
    <x v="10"/>
    <s v="C042"/>
    <x v="77"/>
    <s v="Hyderabad"/>
    <x v="0"/>
    <d v="2024-10-17T00:00:00"/>
    <s v="P015"/>
    <x v="6"/>
    <x v="0"/>
    <n v="10751.13"/>
    <n v="2"/>
    <n v="0"/>
    <n v="21502.26"/>
    <n v="1738.27"/>
  </r>
  <r>
    <s v="O0347"/>
    <x v="268"/>
    <x v="2"/>
    <s v="C073"/>
    <x v="73"/>
    <s v="Bengaluru"/>
    <x v="0"/>
    <d v="2024-04-09T00:00:00"/>
    <s v="P005"/>
    <x v="13"/>
    <x v="1"/>
    <n v="11544.23"/>
    <n v="2"/>
    <n v="0"/>
    <n v="23088.46"/>
    <n v="5326.96"/>
  </r>
  <r>
    <s v="O0348"/>
    <x v="269"/>
    <x v="3"/>
    <s v="C095"/>
    <x v="97"/>
    <s v="Noida"/>
    <x v="3"/>
    <d v="2023-08-05T00:00:00"/>
    <s v="P005"/>
    <x v="13"/>
    <x v="1"/>
    <n v="11544.23"/>
    <n v="1"/>
    <n v="0"/>
    <n v="11544.23"/>
    <n v="3871.79"/>
  </r>
  <r>
    <s v="O0349"/>
    <x v="270"/>
    <x v="0"/>
    <s v="C066"/>
    <x v="25"/>
    <s v="Gurugram"/>
    <x v="3"/>
    <d v="2024-06-25T00:00:00"/>
    <s v="P010"/>
    <x v="7"/>
    <x v="2"/>
    <n v="45275.73"/>
    <n v="4"/>
    <n v="0.05"/>
    <n v="172047.77"/>
    <n v="47542.61"/>
  </r>
  <r>
    <s v="O0350"/>
    <x v="24"/>
    <x v="0"/>
    <s v="C041"/>
    <x v="41"/>
    <s v="Gurugram"/>
    <x v="3"/>
    <d v="2024-01-24T00:00:00"/>
    <s v="P012"/>
    <x v="0"/>
    <x v="0"/>
    <n v="3589.32"/>
    <n v="4"/>
    <n v="0.15"/>
    <n v="12203.69"/>
    <n v="3993.61"/>
  </r>
  <r>
    <s v="O0351"/>
    <x v="210"/>
    <x v="3"/>
    <s v="C098"/>
    <x v="51"/>
    <s v="Hyderabad"/>
    <x v="0"/>
    <d v="2024-02-13T00:00:00"/>
    <s v="P008"/>
    <x v="9"/>
    <x v="2"/>
    <n v="31573.59"/>
    <n v="5"/>
    <n v="0"/>
    <n v="157867.95000000001"/>
    <n v="48824.46"/>
  </r>
  <r>
    <s v="O0352"/>
    <x v="271"/>
    <x v="1"/>
    <s v="C018"/>
    <x v="53"/>
    <s v="Kolkata"/>
    <x v="2"/>
    <d v="2023-12-11T00:00:00"/>
    <s v="P002"/>
    <x v="1"/>
    <x v="1"/>
    <n v="11273.63"/>
    <n v="3"/>
    <n v="0"/>
    <n v="33820.89"/>
    <n v="6153"/>
  </r>
  <r>
    <s v="O0353"/>
    <x v="272"/>
    <x v="3"/>
    <s v="C064"/>
    <x v="60"/>
    <s v="Mumbai"/>
    <x v="1"/>
    <d v="2024-01-30T00:00:00"/>
    <s v="P015"/>
    <x v="6"/>
    <x v="0"/>
    <n v="10751.13"/>
    <n v="4"/>
    <n v="0.15"/>
    <n v="36553.839999999997"/>
    <n v="5148.47"/>
  </r>
  <r>
    <s v="O0354"/>
    <x v="273"/>
    <x v="6"/>
    <s v="C025"/>
    <x v="82"/>
    <s v="Noida"/>
    <x v="3"/>
    <d v="2023-03-22T00:00:00"/>
    <s v="P007"/>
    <x v="4"/>
    <x v="2"/>
    <n v="3596.1"/>
    <n v="5"/>
    <n v="0"/>
    <n v="17980.5"/>
    <n v="2797.45"/>
  </r>
  <r>
    <s v="O0355"/>
    <x v="19"/>
    <x v="9"/>
    <s v="C021"/>
    <x v="29"/>
    <s v="Pune"/>
    <x v="1"/>
    <d v="2023-12-19T00:00:00"/>
    <s v="P004"/>
    <x v="8"/>
    <x v="1"/>
    <n v="29436.02"/>
    <n v="3"/>
    <n v="0.05"/>
    <n v="83892.66"/>
    <n v="15568.31"/>
  </r>
  <r>
    <s v="O0356"/>
    <x v="225"/>
    <x v="3"/>
    <s v="C001"/>
    <x v="55"/>
    <s v="Mumbai"/>
    <x v="1"/>
    <d v="2023-01-26T00:00:00"/>
    <s v="P010"/>
    <x v="7"/>
    <x v="2"/>
    <n v="45275.73"/>
    <n v="3"/>
    <n v="0.2"/>
    <n v="108661.75"/>
    <n v="14791.38"/>
  </r>
  <r>
    <s v="O0357"/>
    <x v="274"/>
    <x v="7"/>
    <s v="C099"/>
    <x v="70"/>
    <s v="Pune"/>
    <x v="1"/>
    <d v="2024-03-24T00:00:00"/>
    <s v="P001"/>
    <x v="2"/>
    <x v="1"/>
    <n v="6094.16"/>
    <n v="1"/>
    <n v="0.1"/>
    <n v="5484.74"/>
    <n v="1251.75"/>
  </r>
  <r>
    <s v="O0358"/>
    <x v="275"/>
    <x v="9"/>
    <s v="C067"/>
    <x v="47"/>
    <s v="Hyderabad"/>
    <x v="0"/>
    <d v="2024-07-20T00:00:00"/>
    <s v="P010"/>
    <x v="7"/>
    <x v="2"/>
    <n v="45275.73"/>
    <n v="4"/>
    <n v="0.1"/>
    <n v="162992.63"/>
    <n v="35254.480000000003"/>
  </r>
  <r>
    <s v="O0359"/>
    <x v="276"/>
    <x v="5"/>
    <s v="C070"/>
    <x v="92"/>
    <s v="Chennai"/>
    <x v="0"/>
    <d v="2023-10-01T00:00:00"/>
    <s v="P009"/>
    <x v="12"/>
    <x v="2"/>
    <n v="11485.64"/>
    <n v="4"/>
    <n v="0.2"/>
    <n v="36754.050000000003"/>
    <n v="8140.91"/>
  </r>
  <r>
    <s v="O0360"/>
    <x v="277"/>
    <x v="11"/>
    <s v="C049"/>
    <x v="24"/>
    <s v="Pune"/>
    <x v="1"/>
    <d v="2023-08-06T00:00:00"/>
    <s v="P007"/>
    <x v="4"/>
    <x v="2"/>
    <n v="3596.1"/>
    <n v="3"/>
    <n v="0.1"/>
    <n v="9709.4699999999993"/>
    <n v="1870.91"/>
  </r>
  <r>
    <s v="O0361"/>
    <x v="278"/>
    <x v="4"/>
    <s v="C086"/>
    <x v="3"/>
    <s v="Kolkata"/>
    <x v="2"/>
    <d v="2023-03-01T00:00:00"/>
    <s v="P003"/>
    <x v="10"/>
    <x v="1"/>
    <n v="16937.37"/>
    <n v="1"/>
    <n v="0.05"/>
    <n v="16090.5"/>
    <n v="1304.1400000000001"/>
  </r>
  <r>
    <s v="O0362"/>
    <x v="43"/>
    <x v="9"/>
    <s v="C083"/>
    <x v="95"/>
    <s v="Pune"/>
    <x v="1"/>
    <d v="2024-05-15T00:00:00"/>
    <s v="P009"/>
    <x v="12"/>
    <x v="2"/>
    <n v="11485.64"/>
    <n v="1"/>
    <n v="0.1"/>
    <n v="10337.08"/>
    <n v="2520.5700000000002"/>
  </r>
  <r>
    <s v="O0363"/>
    <x v="279"/>
    <x v="6"/>
    <s v="C020"/>
    <x v="33"/>
    <s v="Noida"/>
    <x v="3"/>
    <d v="2023-04-10T00:00:00"/>
    <s v="P001"/>
    <x v="2"/>
    <x v="1"/>
    <n v="6094.16"/>
    <n v="2"/>
    <n v="0.15"/>
    <n v="10360.07"/>
    <n v="1878.57"/>
  </r>
  <r>
    <s v="O0364"/>
    <x v="280"/>
    <x v="7"/>
    <s v="C084"/>
    <x v="57"/>
    <s v="Delhi"/>
    <x v="3"/>
    <d v="2023-04-25T00:00:00"/>
    <s v="P004"/>
    <x v="8"/>
    <x v="1"/>
    <n v="29436.02"/>
    <n v="5"/>
    <n v="0.1"/>
    <n v="132462.09"/>
    <n v="30855.93"/>
  </r>
  <r>
    <s v="O0365"/>
    <x v="281"/>
    <x v="4"/>
    <s v="C072"/>
    <x v="0"/>
    <s v="Hyderabad"/>
    <x v="0"/>
    <d v="2024-03-21T00:00:00"/>
    <s v="P012"/>
    <x v="0"/>
    <x v="0"/>
    <n v="3589.32"/>
    <n v="3"/>
    <n v="0"/>
    <n v="10767.96"/>
    <n v="1789.9"/>
  </r>
  <r>
    <s v="O0366"/>
    <x v="282"/>
    <x v="3"/>
    <s v="C014"/>
    <x v="62"/>
    <s v="Jaipur"/>
    <x v="3"/>
    <d v="2023-10-12T00:00:00"/>
    <s v="P003"/>
    <x v="10"/>
    <x v="1"/>
    <n v="16937.37"/>
    <n v="5"/>
    <n v="0"/>
    <n v="84686.85"/>
    <n v="24285.49"/>
  </r>
  <r>
    <s v="O0367"/>
    <x v="283"/>
    <x v="5"/>
    <s v="C026"/>
    <x v="37"/>
    <s v="Chennai"/>
    <x v="0"/>
    <d v="2023-10-28T00:00:00"/>
    <s v="P003"/>
    <x v="10"/>
    <x v="1"/>
    <n v="16937.37"/>
    <n v="3"/>
    <n v="0"/>
    <n v="50812.11"/>
    <n v="7566.29"/>
  </r>
  <r>
    <s v="O0368"/>
    <x v="284"/>
    <x v="2"/>
    <s v="C026"/>
    <x v="37"/>
    <s v="Chennai"/>
    <x v="0"/>
    <d v="2023-10-28T00:00:00"/>
    <s v="P011"/>
    <x v="11"/>
    <x v="0"/>
    <n v="42988.79"/>
    <n v="4"/>
    <n v="0"/>
    <n v="171955.16"/>
    <n v="21597.35"/>
  </r>
  <r>
    <s v="O0369"/>
    <x v="285"/>
    <x v="6"/>
    <s v="C042"/>
    <x v="77"/>
    <s v="Hyderabad"/>
    <x v="0"/>
    <d v="2024-10-17T00:00:00"/>
    <s v="P010"/>
    <x v="7"/>
    <x v="2"/>
    <n v="45275.73"/>
    <n v="5"/>
    <n v="0.2"/>
    <n v="181102.92"/>
    <n v="17225.060000000001"/>
  </r>
  <r>
    <s v="O0370"/>
    <x v="105"/>
    <x v="4"/>
    <s v="C015"/>
    <x v="35"/>
    <s v="Delhi"/>
    <x v="3"/>
    <d v="2023-06-13T00:00:00"/>
    <s v="P014"/>
    <x v="14"/>
    <x v="0"/>
    <n v="33465.440000000002"/>
    <n v="5"/>
    <n v="0.15"/>
    <n v="142228.12"/>
    <n v="13145.93"/>
  </r>
  <r>
    <s v="O0371"/>
    <x v="286"/>
    <x v="9"/>
    <s v="C075"/>
    <x v="96"/>
    <s v="Chennai"/>
    <x v="0"/>
    <d v="2023-07-02T00:00:00"/>
    <s v="P014"/>
    <x v="14"/>
    <x v="0"/>
    <n v="33465.440000000002"/>
    <n v="3"/>
    <n v="0.15"/>
    <n v="85336.87"/>
    <n v="22148.67"/>
  </r>
  <r>
    <s v="O0372"/>
    <x v="287"/>
    <x v="6"/>
    <s v="C042"/>
    <x v="77"/>
    <s v="Hyderabad"/>
    <x v="0"/>
    <d v="2024-10-17T00:00:00"/>
    <s v="P004"/>
    <x v="8"/>
    <x v="1"/>
    <n v="29436.02"/>
    <n v="2"/>
    <n v="0.1"/>
    <n v="52984.84"/>
    <n v="13916.48"/>
  </r>
  <r>
    <s v="O0373"/>
    <x v="288"/>
    <x v="4"/>
    <s v="C037"/>
    <x v="1"/>
    <s v="Hyderabad"/>
    <x v="0"/>
    <d v="2024-12-19T00:00:00"/>
    <s v="P009"/>
    <x v="12"/>
    <x v="2"/>
    <n v="11485.64"/>
    <n v="3"/>
    <n v="0.1"/>
    <n v="31011.23"/>
    <n v="5054.95"/>
  </r>
  <r>
    <s v="O0374"/>
    <x v="289"/>
    <x v="4"/>
    <s v="C074"/>
    <x v="20"/>
    <s v="Delhi"/>
    <x v="3"/>
    <d v="2023-09-27T00:00:00"/>
    <s v="P013"/>
    <x v="3"/>
    <x v="0"/>
    <n v="11938.33"/>
    <n v="2"/>
    <n v="0.15"/>
    <n v="20295.16"/>
    <n v="5293.98"/>
  </r>
  <r>
    <s v="O0375"/>
    <x v="245"/>
    <x v="6"/>
    <s v="C085"/>
    <x v="2"/>
    <s v="Pune"/>
    <x v="1"/>
    <d v="2023-11-11T00:00:00"/>
    <s v="P010"/>
    <x v="7"/>
    <x v="2"/>
    <n v="45275.73"/>
    <n v="5"/>
    <n v="0"/>
    <n v="226378.65"/>
    <n v="55192.800000000003"/>
  </r>
  <r>
    <s v="O0376"/>
    <x v="290"/>
    <x v="2"/>
    <s v="C044"/>
    <x v="15"/>
    <s v="Pune"/>
    <x v="1"/>
    <d v="2023-02-27T00:00:00"/>
    <s v="P009"/>
    <x v="12"/>
    <x v="2"/>
    <n v="11485.64"/>
    <n v="5"/>
    <n v="0"/>
    <n v="57428.2"/>
    <n v="3185.49"/>
  </r>
  <r>
    <s v="O0377"/>
    <x v="291"/>
    <x v="8"/>
    <s v="C056"/>
    <x v="9"/>
    <s v="Jaipur"/>
    <x v="3"/>
    <d v="2024-02-13T00:00:00"/>
    <s v="P003"/>
    <x v="10"/>
    <x v="1"/>
    <n v="16937.37"/>
    <n v="2"/>
    <n v="0"/>
    <n v="33874.74"/>
    <n v="5166.57"/>
  </r>
  <r>
    <s v="O0378"/>
    <x v="221"/>
    <x v="11"/>
    <s v="C095"/>
    <x v="97"/>
    <s v="Noida"/>
    <x v="3"/>
    <d v="2023-08-05T00:00:00"/>
    <s v="P010"/>
    <x v="7"/>
    <x v="2"/>
    <n v="45275.73"/>
    <n v="2"/>
    <n v="0"/>
    <n v="90551.46"/>
    <n v="31692.38"/>
  </r>
  <r>
    <s v="O0379"/>
    <x v="292"/>
    <x v="1"/>
    <s v="C070"/>
    <x v="92"/>
    <s v="Chennai"/>
    <x v="0"/>
    <d v="2023-10-01T00:00:00"/>
    <s v="P006"/>
    <x v="5"/>
    <x v="2"/>
    <n v="11049.86"/>
    <n v="1"/>
    <n v="0"/>
    <n v="11049.86"/>
    <n v="3351.74"/>
  </r>
  <r>
    <s v="O0380"/>
    <x v="293"/>
    <x v="11"/>
    <s v="C037"/>
    <x v="1"/>
    <s v="Hyderabad"/>
    <x v="0"/>
    <d v="2024-12-19T00:00:00"/>
    <s v="P003"/>
    <x v="10"/>
    <x v="1"/>
    <n v="16937.37"/>
    <n v="5"/>
    <n v="0.2"/>
    <n v="67749.48"/>
    <n v="14358.23"/>
  </r>
  <r>
    <s v="O0381"/>
    <x v="194"/>
    <x v="10"/>
    <s v="C071"/>
    <x v="67"/>
    <s v="Pune"/>
    <x v="1"/>
    <d v="2023-04-25T00:00:00"/>
    <s v="P010"/>
    <x v="7"/>
    <x v="2"/>
    <n v="45275.73"/>
    <n v="1"/>
    <n v="0.15"/>
    <n v="38484.370000000003"/>
    <n v="5812.27"/>
  </r>
  <r>
    <s v="O0382"/>
    <x v="294"/>
    <x v="11"/>
    <s v="C041"/>
    <x v="41"/>
    <s v="Gurugram"/>
    <x v="3"/>
    <d v="2024-01-24T00:00:00"/>
    <s v="P015"/>
    <x v="6"/>
    <x v="0"/>
    <n v="10751.13"/>
    <n v="2"/>
    <n v="0.1"/>
    <n v="19352.03"/>
    <n v="3154.69"/>
  </r>
  <r>
    <s v="O0383"/>
    <x v="295"/>
    <x v="3"/>
    <s v="C020"/>
    <x v="33"/>
    <s v="Noida"/>
    <x v="3"/>
    <d v="2023-04-10T00:00:00"/>
    <s v="P007"/>
    <x v="4"/>
    <x v="2"/>
    <n v="3596.1"/>
    <n v="2"/>
    <n v="0.2"/>
    <n v="5753.76"/>
    <n v="1483.63"/>
  </r>
  <r>
    <s v="O0384"/>
    <x v="185"/>
    <x v="9"/>
    <s v="C034"/>
    <x v="46"/>
    <s v="Pune"/>
    <x v="1"/>
    <d v="2023-06-16T00:00:00"/>
    <s v="P010"/>
    <x v="7"/>
    <x v="2"/>
    <n v="45275.73"/>
    <n v="2"/>
    <n v="0.15"/>
    <n v="76968.740000000005"/>
    <n v="13954.59"/>
  </r>
  <r>
    <s v="O0385"/>
    <x v="223"/>
    <x v="6"/>
    <s v="C091"/>
    <x v="16"/>
    <s v="Bengaluru"/>
    <x v="0"/>
    <d v="2024-11-06T00:00:00"/>
    <s v="P001"/>
    <x v="2"/>
    <x v="1"/>
    <n v="6094.16"/>
    <n v="3"/>
    <n v="0.15"/>
    <n v="15540.11"/>
    <n v="4131.74"/>
  </r>
  <r>
    <s v="O0386"/>
    <x v="234"/>
    <x v="1"/>
    <s v="C043"/>
    <x v="65"/>
    <s v="Chennai"/>
    <x v="0"/>
    <d v="2023-08-13T00:00:00"/>
    <s v="P002"/>
    <x v="1"/>
    <x v="1"/>
    <n v="11273.63"/>
    <n v="5"/>
    <n v="0"/>
    <n v="56368.15"/>
    <n v="15541.68"/>
  </r>
  <r>
    <s v="O0387"/>
    <x v="271"/>
    <x v="1"/>
    <s v="C093"/>
    <x v="86"/>
    <s v="Bengaluru"/>
    <x v="0"/>
    <d v="2023-09-29T00:00:00"/>
    <s v="P005"/>
    <x v="13"/>
    <x v="1"/>
    <n v="11544.23"/>
    <n v="2"/>
    <n v="0.1"/>
    <n v="20779.61"/>
    <n v="2529.9299999999998"/>
  </r>
  <r>
    <s v="O0388"/>
    <x v="0"/>
    <x v="0"/>
    <s v="C010"/>
    <x v="40"/>
    <s v="Jaipur"/>
    <x v="3"/>
    <d v="2023-01-28T00:00:00"/>
    <s v="P007"/>
    <x v="4"/>
    <x v="2"/>
    <n v="3596.1"/>
    <n v="2"/>
    <n v="0"/>
    <n v="7192.2"/>
    <n v="1823.17"/>
  </r>
  <r>
    <s v="O0389"/>
    <x v="296"/>
    <x v="7"/>
    <s v="C009"/>
    <x v="30"/>
    <s v="Kolkata"/>
    <x v="2"/>
    <d v="2024-06-01T00:00:00"/>
    <s v="P011"/>
    <x v="11"/>
    <x v="0"/>
    <n v="42988.79"/>
    <n v="4"/>
    <n v="0.05"/>
    <n v="163357.4"/>
    <n v="45875.91"/>
  </r>
  <r>
    <s v="O0390"/>
    <x v="297"/>
    <x v="11"/>
    <s v="C019"/>
    <x v="83"/>
    <s v="Mumbai"/>
    <x v="1"/>
    <d v="2023-04-05T00:00:00"/>
    <s v="P002"/>
    <x v="1"/>
    <x v="1"/>
    <n v="11273.63"/>
    <n v="5"/>
    <n v="0.1"/>
    <n v="50731.34"/>
    <n v="8908.33"/>
  </r>
  <r>
    <s v="O0391"/>
    <x v="298"/>
    <x v="10"/>
    <s v="C034"/>
    <x v="46"/>
    <s v="Pune"/>
    <x v="1"/>
    <d v="2023-06-16T00:00:00"/>
    <s v="P006"/>
    <x v="5"/>
    <x v="2"/>
    <n v="11049.86"/>
    <n v="2"/>
    <n v="0.2"/>
    <n v="17679.78"/>
    <n v="4091.08"/>
  </r>
  <r>
    <s v="O0392"/>
    <x v="299"/>
    <x v="7"/>
    <s v="C063"/>
    <x v="21"/>
    <s v="Noida"/>
    <x v="3"/>
    <d v="2024-09-02T00:00:00"/>
    <s v="P005"/>
    <x v="13"/>
    <x v="1"/>
    <n v="11544.23"/>
    <n v="1"/>
    <n v="0.15"/>
    <n v="9812.6"/>
    <n v="1905.38"/>
  </r>
  <r>
    <s v="O0393"/>
    <x v="300"/>
    <x v="11"/>
    <s v="C098"/>
    <x v="51"/>
    <s v="Hyderabad"/>
    <x v="0"/>
    <d v="2024-02-13T00:00:00"/>
    <s v="P014"/>
    <x v="14"/>
    <x v="0"/>
    <n v="33465.440000000002"/>
    <n v="5"/>
    <n v="0"/>
    <n v="167327.20000000001"/>
    <n v="44077.38"/>
  </r>
  <r>
    <s v="O0394"/>
    <x v="168"/>
    <x v="11"/>
    <s v="C049"/>
    <x v="24"/>
    <s v="Pune"/>
    <x v="1"/>
    <d v="2023-08-06T00:00:00"/>
    <s v="P003"/>
    <x v="10"/>
    <x v="1"/>
    <n v="16937.37"/>
    <n v="1"/>
    <n v="0"/>
    <n v="16937.37"/>
    <n v="1273.06"/>
  </r>
  <r>
    <s v="O0395"/>
    <x v="72"/>
    <x v="8"/>
    <s v="C029"/>
    <x v="85"/>
    <s v="Mumbai"/>
    <x v="1"/>
    <d v="2023-02-16T00:00:00"/>
    <s v="P005"/>
    <x v="13"/>
    <x v="1"/>
    <n v="11544.23"/>
    <n v="3"/>
    <n v="0.05"/>
    <n v="32901.06"/>
    <n v="10580.71"/>
  </r>
  <r>
    <s v="O0396"/>
    <x v="301"/>
    <x v="0"/>
    <s v="C010"/>
    <x v="40"/>
    <s v="Jaipur"/>
    <x v="3"/>
    <d v="2023-01-28T00:00:00"/>
    <s v="P011"/>
    <x v="11"/>
    <x v="0"/>
    <n v="42988.79"/>
    <n v="4"/>
    <n v="0"/>
    <n v="171955.16"/>
    <n v="57419.95"/>
  </r>
  <r>
    <s v="O0397"/>
    <x v="182"/>
    <x v="9"/>
    <s v="C039"/>
    <x v="32"/>
    <s v="Bengaluru"/>
    <x v="0"/>
    <d v="2024-06-30T00:00:00"/>
    <s v="P014"/>
    <x v="14"/>
    <x v="0"/>
    <n v="33465.440000000002"/>
    <n v="4"/>
    <n v="0"/>
    <n v="133861.76000000001"/>
    <n v="44059.47"/>
  </r>
  <r>
    <s v="O0398"/>
    <x v="302"/>
    <x v="0"/>
    <s v="C054"/>
    <x v="5"/>
    <s v="Chennai"/>
    <x v="0"/>
    <d v="2023-09-27T00:00:00"/>
    <s v="P001"/>
    <x v="2"/>
    <x v="1"/>
    <n v="6094.16"/>
    <n v="1"/>
    <n v="0.05"/>
    <n v="5789.45"/>
    <n v="1161.3800000000001"/>
  </r>
  <r>
    <s v="O0399"/>
    <x v="303"/>
    <x v="7"/>
    <s v="C024"/>
    <x v="34"/>
    <s v="Chennai"/>
    <x v="0"/>
    <d v="2023-05-08T00:00:00"/>
    <s v="P005"/>
    <x v="13"/>
    <x v="1"/>
    <n v="11544.23"/>
    <n v="4"/>
    <n v="0"/>
    <n v="46176.92"/>
    <n v="7502.54"/>
  </r>
  <r>
    <s v="O0400"/>
    <x v="191"/>
    <x v="3"/>
    <s v="C043"/>
    <x v="65"/>
    <s v="Chennai"/>
    <x v="0"/>
    <d v="2023-08-13T00:00:00"/>
    <s v="P012"/>
    <x v="0"/>
    <x v="0"/>
    <n v="3589.32"/>
    <n v="3"/>
    <n v="0"/>
    <n v="10767.96"/>
    <n v="3249.26"/>
  </r>
  <r>
    <s v="O0401"/>
    <x v="304"/>
    <x v="9"/>
    <s v="C006"/>
    <x v="6"/>
    <s v="Jaipur"/>
    <x v="3"/>
    <d v="2024-03-08T00:00:00"/>
    <s v="P004"/>
    <x v="8"/>
    <x v="1"/>
    <n v="29436.02"/>
    <n v="3"/>
    <n v="0.2"/>
    <n v="70646.45"/>
    <n v="6627.68"/>
  </r>
  <r>
    <s v="O0402"/>
    <x v="305"/>
    <x v="8"/>
    <s v="C055"/>
    <x v="38"/>
    <s v="Jaipur"/>
    <x v="3"/>
    <d v="2024-03-14T00:00:00"/>
    <s v="P005"/>
    <x v="13"/>
    <x v="1"/>
    <n v="11544.23"/>
    <n v="3"/>
    <n v="0.2"/>
    <n v="27706.15"/>
    <n v="5312.28"/>
  </r>
  <r>
    <s v="O0403"/>
    <x v="306"/>
    <x v="6"/>
    <s v="C017"/>
    <x v="72"/>
    <s v="Hyderabad"/>
    <x v="0"/>
    <d v="2023-06-09T00:00:00"/>
    <s v="P001"/>
    <x v="2"/>
    <x v="1"/>
    <n v="6094.16"/>
    <n v="4"/>
    <n v="0.05"/>
    <n v="23157.81"/>
    <n v="5432.93"/>
  </r>
  <r>
    <s v="O0404"/>
    <x v="307"/>
    <x v="11"/>
    <s v="C099"/>
    <x v="70"/>
    <s v="Pune"/>
    <x v="1"/>
    <d v="2024-03-24T00:00:00"/>
    <s v="P007"/>
    <x v="4"/>
    <x v="2"/>
    <n v="3596.1"/>
    <n v="1"/>
    <n v="0"/>
    <n v="3596.1"/>
    <n v="412.46"/>
  </r>
  <r>
    <s v="O0405"/>
    <x v="245"/>
    <x v="6"/>
    <s v="C008"/>
    <x v="48"/>
    <s v="Mumbai"/>
    <x v="1"/>
    <d v="2023-08-12T00:00:00"/>
    <s v="P012"/>
    <x v="0"/>
    <x v="0"/>
    <n v="3589.32"/>
    <n v="5"/>
    <n v="0.15"/>
    <n v="15254.61"/>
    <n v="3549.2"/>
  </r>
  <r>
    <s v="O0406"/>
    <x v="114"/>
    <x v="2"/>
    <s v="C011"/>
    <x v="39"/>
    <s v="Chennai"/>
    <x v="0"/>
    <d v="2023-07-23T00:00:00"/>
    <s v="P015"/>
    <x v="6"/>
    <x v="0"/>
    <n v="10751.13"/>
    <n v="1"/>
    <n v="0.2"/>
    <n v="8600.9"/>
    <n v="1173.42"/>
  </r>
  <r>
    <s v="O0407"/>
    <x v="308"/>
    <x v="3"/>
    <s v="C020"/>
    <x v="33"/>
    <s v="Noida"/>
    <x v="3"/>
    <d v="2023-04-10T00:00:00"/>
    <s v="P003"/>
    <x v="10"/>
    <x v="1"/>
    <n v="16937.37"/>
    <n v="1"/>
    <n v="0"/>
    <n v="16937.37"/>
    <n v="2058.4299999999998"/>
  </r>
  <r>
    <s v="O0408"/>
    <x v="309"/>
    <x v="8"/>
    <s v="C092"/>
    <x v="22"/>
    <s v="Gurugram"/>
    <x v="3"/>
    <d v="2024-07-16T00:00:00"/>
    <s v="P015"/>
    <x v="6"/>
    <x v="0"/>
    <n v="10751.13"/>
    <n v="5"/>
    <n v="0.05"/>
    <n v="51067.87"/>
    <n v="3515.62"/>
  </r>
  <r>
    <s v="O0409"/>
    <x v="310"/>
    <x v="11"/>
    <s v="C028"/>
    <x v="23"/>
    <s v="Jaipur"/>
    <x v="3"/>
    <d v="2023-07-16T00:00:00"/>
    <s v="P004"/>
    <x v="8"/>
    <x v="1"/>
    <n v="29436.02"/>
    <n v="5"/>
    <n v="0.1"/>
    <n v="132462.09"/>
    <n v="7276.22"/>
  </r>
  <r>
    <s v="O0410"/>
    <x v="178"/>
    <x v="3"/>
    <s v="C068"/>
    <x v="44"/>
    <s v="Delhi"/>
    <x v="3"/>
    <d v="2024-11-27T00:00:00"/>
    <s v="P013"/>
    <x v="3"/>
    <x v="0"/>
    <n v="11938.33"/>
    <n v="5"/>
    <n v="0"/>
    <n v="59691.65"/>
    <n v="15851.91"/>
  </r>
  <r>
    <s v="O0411"/>
    <x v="311"/>
    <x v="10"/>
    <s v="C092"/>
    <x v="22"/>
    <s v="Gurugram"/>
    <x v="3"/>
    <d v="2024-07-16T00:00:00"/>
    <s v="P006"/>
    <x v="5"/>
    <x v="2"/>
    <n v="11049.86"/>
    <n v="4"/>
    <n v="0"/>
    <n v="44199.44"/>
    <n v="10362.24"/>
  </r>
  <r>
    <s v="O0412"/>
    <x v="98"/>
    <x v="2"/>
    <s v="C059"/>
    <x v="14"/>
    <s v="Gurugram"/>
    <x v="3"/>
    <d v="2023-04-04T00:00:00"/>
    <s v="P005"/>
    <x v="13"/>
    <x v="1"/>
    <n v="11544.23"/>
    <n v="5"/>
    <n v="0.05"/>
    <n v="54835.09"/>
    <n v="5823.17"/>
  </r>
  <r>
    <s v="O0413"/>
    <x v="312"/>
    <x v="6"/>
    <s v="C056"/>
    <x v="9"/>
    <s v="Jaipur"/>
    <x v="3"/>
    <d v="2024-02-13T00:00:00"/>
    <s v="P009"/>
    <x v="12"/>
    <x v="2"/>
    <n v="11485.64"/>
    <n v="1"/>
    <n v="0.1"/>
    <n v="10337.08"/>
    <n v="3539.38"/>
  </r>
  <r>
    <s v="O0414"/>
    <x v="313"/>
    <x v="11"/>
    <s v="C068"/>
    <x v="44"/>
    <s v="Delhi"/>
    <x v="3"/>
    <d v="2024-11-27T00:00:00"/>
    <s v="P010"/>
    <x v="7"/>
    <x v="2"/>
    <n v="45275.73"/>
    <n v="5"/>
    <n v="0.1"/>
    <n v="203740.79"/>
    <n v="41196.04"/>
  </r>
  <r>
    <s v="O0415"/>
    <x v="50"/>
    <x v="1"/>
    <s v="C015"/>
    <x v="35"/>
    <s v="Delhi"/>
    <x v="3"/>
    <d v="2023-06-13T00:00:00"/>
    <s v="P006"/>
    <x v="5"/>
    <x v="2"/>
    <n v="11049.86"/>
    <n v="5"/>
    <n v="0"/>
    <n v="55249.3"/>
    <n v="9234.15"/>
  </r>
  <r>
    <s v="O0416"/>
    <x v="314"/>
    <x v="7"/>
    <s v="C047"/>
    <x v="10"/>
    <s v="Hyderabad"/>
    <x v="0"/>
    <d v="2023-03-09T00:00:00"/>
    <s v="P001"/>
    <x v="2"/>
    <x v="1"/>
    <n v="6094.16"/>
    <n v="1"/>
    <n v="0.15"/>
    <n v="5180.04"/>
    <n v="860.22"/>
  </r>
  <r>
    <s v="O0417"/>
    <x v="312"/>
    <x v="6"/>
    <s v="C027"/>
    <x v="49"/>
    <s v="Jaipur"/>
    <x v="3"/>
    <d v="2024-01-06T00:00:00"/>
    <s v="P014"/>
    <x v="14"/>
    <x v="0"/>
    <n v="33465.440000000002"/>
    <n v="3"/>
    <n v="0.15"/>
    <n v="85336.87"/>
    <n v="4682.66"/>
  </r>
  <r>
    <s v="O0418"/>
    <x v="269"/>
    <x v="3"/>
    <s v="C039"/>
    <x v="32"/>
    <s v="Bengaluru"/>
    <x v="0"/>
    <d v="2024-06-30T00:00:00"/>
    <s v="P015"/>
    <x v="6"/>
    <x v="0"/>
    <n v="10751.13"/>
    <n v="3"/>
    <n v="0"/>
    <n v="32253.39"/>
    <n v="8704.6200000000008"/>
  </r>
  <r>
    <s v="O0419"/>
    <x v="47"/>
    <x v="4"/>
    <s v="C039"/>
    <x v="32"/>
    <s v="Bengaluru"/>
    <x v="0"/>
    <d v="2024-06-30T00:00:00"/>
    <s v="P010"/>
    <x v="7"/>
    <x v="2"/>
    <n v="45275.73"/>
    <n v="1"/>
    <n v="0.2"/>
    <n v="36220.58"/>
    <n v="8134.09"/>
  </r>
  <r>
    <s v="O0420"/>
    <x v="281"/>
    <x v="4"/>
    <s v="C051"/>
    <x v="90"/>
    <s v="Gurugram"/>
    <x v="3"/>
    <d v="2023-05-27T00:00:00"/>
    <s v="P012"/>
    <x v="0"/>
    <x v="0"/>
    <n v="3589.32"/>
    <n v="2"/>
    <n v="0"/>
    <n v="7178.64"/>
    <n v="1117.6400000000001"/>
  </r>
  <r>
    <s v="O0421"/>
    <x v="80"/>
    <x v="1"/>
    <s v="C099"/>
    <x v="70"/>
    <s v="Pune"/>
    <x v="1"/>
    <d v="2024-03-24T00:00:00"/>
    <s v="P001"/>
    <x v="2"/>
    <x v="1"/>
    <n v="6094.16"/>
    <n v="2"/>
    <n v="0.2"/>
    <n v="9750.66"/>
    <n v="2766.68"/>
  </r>
  <r>
    <s v="O0422"/>
    <x v="315"/>
    <x v="8"/>
    <s v="C030"/>
    <x v="75"/>
    <s v="Kolkata"/>
    <x v="2"/>
    <d v="2023-10-24T00:00:00"/>
    <s v="P003"/>
    <x v="10"/>
    <x v="1"/>
    <n v="16937.37"/>
    <n v="4"/>
    <n v="0.15"/>
    <n v="57587.06"/>
    <n v="6028.41"/>
  </r>
  <r>
    <s v="O0423"/>
    <x v="316"/>
    <x v="1"/>
    <s v="C008"/>
    <x v="48"/>
    <s v="Mumbai"/>
    <x v="1"/>
    <d v="2023-08-12T00:00:00"/>
    <s v="P008"/>
    <x v="9"/>
    <x v="2"/>
    <n v="31573.59"/>
    <n v="1"/>
    <n v="0.15"/>
    <n v="26837.55"/>
    <n v="7591.19"/>
  </r>
  <r>
    <s v="O0424"/>
    <x v="317"/>
    <x v="5"/>
    <s v="C067"/>
    <x v="47"/>
    <s v="Hyderabad"/>
    <x v="0"/>
    <d v="2024-07-20T00:00:00"/>
    <s v="P008"/>
    <x v="9"/>
    <x v="2"/>
    <n v="31573.59"/>
    <n v="1"/>
    <n v="0"/>
    <n v="31573.59"/>
    <n v="3488.16"/>
  </r>
  <r>
    <s v="O0425"/>
    <x v="310"/>
    <x v="11"/>
    <s v="C072"/>
    <x v="0"/>
    <s v="Hyderabad"/>
    <x v="0"/>
    <d v="2024-03-21T00:00:00"/>
    <s v="P014"/>
    <x v="14"/>
    <x v="0"/>
    <n v="33465.440000000002"/>
    <n v="1"/>
    <n v="0"/>
    <n v="33465.440000000002"/>
    <n v="11043.97"/>
  </r>
  <r>
    <s v="O0426"/>
    <x v="318"/>
    <x v="10"/>
    <s v="C007"/>
    <x v="56"/>
    <s v="Delhi"/>
    <x v="3"/>
    <d v="2023-01-31T00:00:00"/>
    <s v="P002"/>
    <x v="1"/>
    <x v="1"/>
    <n v="11273.63"/>
    <n v="4"/>
    <n v="0.2"/>
    <n v="36075.620000000003"/>
    <n v="7680.83"/>
  </r>
  <r>
    <s v="O0427"/>
    <x v="319"/>
    <x v="3"/>
    <s v="C092"/>
    <x v="22"/>
    <s v="Gurugram"/>
    <x v="3"/>
    <d v="2024-07-16T00:00:00"/>
    <s v="P006"/>
    <x v="5"/>
    <x v="2"/>
    <n v="11049.86"/>
    <n v="1"/>
    <n v="0.2"/>
    <n v="8839.89"/>
    <n v="2157.5500000000002"/>
  </r>
  <r>
    <s v="O0428"/>
    <x v="268"/>
    <x v="2"/>
    <s v="C081"/>
    <x v="98"/>
    <s v="Chennai"/>
    <x v="0"/>
    <d v="2024-06-27T00:00:00"/>
    <s v="P007"/>
    <x v="4"/>
    <x v="2"/>
    <n v="3596.1"/>
    <n v="3"/>
    <n v="0.2"/>
    <n v="8630.64"/>
    <n v="2453.2800000000002"/>
  </r>
  <r>
    <s v="O0429"/>
    <x v="320"/>
    <x v="7"/>
    <s v="C038"/>
    <x v="58"/>
    <s v="Mumbai"/>
    <x v="1"/>
    <d v="2024-09-15T00:00:00"/>
    <s v="P013"/>
    <x v="3"/>
    <x v="0"/>
    <n v="11938.33"/>
    <n v="3"/>
    <n v="0"/>
    <n v="35814.99"/>
    <n v="3128.17"/>
  </r>
  <r>
    <s v="O0430"/>
    <x v="321"/>
    <x v="7"/>
    <s v="C025"/>
    <x v="82"/>
    <s v="Noida"/>
    <x v="3"/>
    <d v="2023-03-22T00:00:00"/>
    <s v="P003"/>
    <x v="10"/>
    <x v="1"/>
    <n v="16937.37"/>
    <n v="4"/>
    <n v="0.05"/>
    <n v="64362.01"/>
    <n v="17570.330000000002"/>
  </r>
  <r>
    <s v="O0431"/>
    <x v="201"/>
    <x v="8"/>
    <s v="C051"/>
    <x v="90"/>
    <s v="Gurugram"/>
    <x v="3"/>
    <d v="2023-05-27T00:00:00"/>
    <s v="P010"/>
    <x v="7"/>
    <x v="2"/>
    <n v="45275.73"/>
    <n v="3"/>
    <n v="0"/>
    <n v="135827.19"/>
    <n v="27010.73"/>
  </r>
  <r>
    <s v="O0432"/>
    <x v="322"/>
    <x v="6"/>
    <s v="C040"/>
    <x v="63"/>
    <s v="Kolkata"/>
    <x v="2"/>
    <d v="2023-06-17T00:00:00"/>
    <s v="P015"/>
    <x v="6"/>
    <x v="0"/>
    <n v="10751.13"/>
    <n v="3"/>
    <n v="0.2"/>
    <n v="25802.71"/>
    <n v="5309.75"/>
  </r>
  <r>
    <s v="O0433"/>
    <x v="323"/>
    <x v="5"/>
    <s v="C080"/>
    <x v="80"/>
    <s v="Pune"/>
    <x v="1"/>
    <d v="2023-06-15T00:00:00"/>
    <s v="P015"/>
    <x v="6"/>
    <x v="0"/>
    <n v="10751.13"/>
    <n v="4"/>
    <n v="0"/>
    <n v="43004.52"/>
    <n v="7705.64"/>
  </r>
  <r>
    <s v="O0434"/>
    <x v="306"/>
    <x v="6"/>
    <s v="C097"/>
    <x v="84"/>
    <s v="Kolkata"/>
    <x v="2"/>
    <d v="2024-12-31T00:00:00"/>
    <s v="P008"/>
    <x v="9"/>
    <x v="2"/>
    <n v="31573.59"/>
    <n v="5"/>
    <n v="0"/>
    <n v="157867.95000000001"/>
    <n v="23106.09"/>
  </r>
  <r>
    <s v="O0435"/>
    <x v="83"/>
    <x v="1"/>
    <s v="C015"/>
    <x v="35"/>
    <s v="Delhi"/>
    <x v="3"/>
    <d v="2023-06-13T00:00:00"/>
    <s v="P012"/>
    <x v="0"/>
    <x v="0"/>
    <n v="3589.32"/>
    <n v="3"/>
    <n v="0.15"/>
    <n v="9152.77"/>
    <n v="1269.42"/>
  </r>
  <r>
    <s v="O0436"/>
    <x v="133"/>
    <x v="4"/>
    <s v="C012"/>
    <x v="31"/>
    <s v="Chennai"/>
    <x v="0"/>
    <d v="2024-03-05T00:00:00"/>
    <s v="P011"/>
    <x v="11"/>
    <x v="0"/>
    <n v="42988.79"/>
    <n v="5"/>
    <n v="0.15"/>
    <n v="182702.36"/>
    <n v="32490.84"/>
  </r>
  <r>
    <s v="O0437"/>
    <x v="324"/>
    <x v="4"/>
    <s v="C088"/>
    <x v="7"/>
    <s v="Mumbai"/>
    <x v="1"/>
    <d v="2023-03-29T00:00:00"/>
    <s v="P009"/>
    <x v="12"/>
    <x v="2"/>
    <n v="11485.64"/>
    <n v="4"/>
    <n v="0"/>
    <n v="45942.559999999998"/>
    <n v="8459.81"/>
  </r>
  <r>
    <s v="O0438"/>
    <x v="19"/>
    <x v="9"/>
    <s v="C054"/>
    <x v="5"/>
    <s v="Chennai"/>
    <x v="0"/>
    <d v="2023-09-27T00:00:00"/>
    <s v="P002"/>
    <x v="1"/>
    <x v="1"/>
    <n v="11273.63"/>
    <n v="5"/>
    <n v="0.05"/>
    <n v="53549.74"/>
    <n v="7088.2"/>
  </r>
  <r>
    <s v="O0439"/>
    <x v="280"/>
    <x v="7"/>
    <s v="C063"/>
    <x v="21"/>
    <s v="Noida"/>
    <x v="3"/>
    <d v="2024-09-02T00:00:00"/>
    <s v="P007"/>
    <x v="4"/>
    <x v="2"/>
    <n v="3596.1"/>
    <n v="1"/>
    <n v="0.15"/>
    <n v="3056.68"/>
    <n v="737.44"/>
  </r>
  <r>
    <s v="O0440"/>
    <x v="325"/>
    <x v="11"/>
    <s v="C001"/>
    <x v="55"/>
    <s v="Mumbai"/>
    <x v="1"/>
    <d v="2023-01-26T00:00:00"/>
    <s v="P001"/>
    <x v="2"/>
    <x v="1"/>
    <n v="6094.16"/>
    <n v="5"/>
    <n v="0.2"/>
    <n v="24376.639999999999"/>
    <n v="6702.83"/>
  </r>
  <r>
    <s v="O0441"/>
    <x v="256"/>
    <x v="2"/>
    <s v="C079"/>
    <x v="66"/>
    <s v="Kolkata"/>
    <x v="2"/>
    <d v="2023-06-06T00:00:00"/>
    <s v="P001"/>
    <x v="2"/>
    <x v="1"/>
    <n v="6094.16"/>
    <n v="1"/>
    <n v="0"/>
    <n v="6094.16"/>
    <n v="1856.29"/>
  </r>
  <r>
    <s v="O0442"/>
    <x v="302"/>
    <x v="0"/>
    <s v="C059"/>
    <x v="14"/>
    <s v="Gurugram"/>
    <x v="3"/>
    <d v="2023-04-04T00:00:00"/>
    <s v="P006"/>
    <x v="5"/>
    <x v="2"/>
    <n v="11049.86"/>
    <n v="4"/>
    <n v="0"/>
    <n v="44199.44"/>
    <n v="3883.76"/>
  </r>
  <r>
    <s v="O0443"/>
    <x v="326"/>
    <x v="0"/>
    <s v="C041"/>
    <x v="41"/>
    <s v="Gurugram"/>
    <x v="3"/>
    <d v="2024-01-24T00:00:00"/>
    <s v="P007"/>
    <x v="4"/>
    <x v="2"/>
    <n v="3596.1"/>
    <n v="3"/>
    <n v="0"/>
    <n v="10788.3"/>
    <n v="1778.52"/>
  </r>
  <r>
    <s v="O0444"/>
    <x v="84"/>
    <x v="1"/>
    <s v="C047"/>
    <x v="10"/>
    <s v="Hyderabad"/>
    <x v="0"/>
    <d v="2023-03-09T00:00:00"/>
    <s v="P002"/>
    <x v="1"/>
    <x v="1"/>
    <n v="11273.63"/>
    <n v="1"/>
    <n v="0.1"/>
    <n v="10146.27"/>
    <n v="974.36"/>
  </r>
  <r>
    <s v="O0445"/>
    <x v="266"/>
    <x v="6"/>
    <s v="C022"/>
    <x v="59"/>
    <s v="Jaipur"/>
    <x v="3"/>
    <d v="2023-09-28T00:00:00"/>
    <s v="P015"/>
    <x v="6"/>
    <x v="0"/>
    <n v="10751.13"/>
    <n v="3"/>
    <n v="0"/>
    <n v="32253.39"/>
    <n v="5908.23"/>
  </r>
  <r>
    <s v="O0446"/>
    <x v="327"/>
    <x v="9"/>
    <s v="C058"/>
    <x v="28"/>
    <s v="Bengaluru"/>
    <x v="0"/>
    <d v="2024-06-05T00:00:00"/>
    <s v="P012"/>
    <x v="0"/>
    <x v="0"/>
    <n v="3589.32"/>
    <n v="5"/>
    <n v="0"/>
    <n v="17946.599999999999"/>
    <n v="3747.93"/>
  </r>
  <r>
    <s v="O0447"/>
    <x v="328"/>
    <x v="1"/>
    <s v="C067"/>
    <x v="47"/>
    <s v="Hyderabad"/>
    <x v="0"/>
    <d v="2024-07-20T00:00:00"/>
    <s v="P013"/>
    <x v="3"/>
    <x v="0"/>
    <n v="11938.33"/>
    <n v="3"/>
    <n v="0.15"/>
    <n v="30442.74"/>
    <n v="4067.36"/>
  </r>
  <r>
    <s v="O0448"/>
    <x v="329"/>
    <x v="11"/>
    <s v="C075"/>
    <x v="96"/>
    <s v="Chennai"/>
    <x v="0"/>
    <d v="2023-07-02T00:00:00"/>
    <s v="P006"/>
    <x v="5"/>
    <x v="2"/>
    <n v="11049.86"/>
    <n v="1"/>
    <n v="0.15"/>
    <n v="9392.3799999999992"/>
    <n v="993.85"/>
  </r>
  <r>
    <s v="O0449"/>
    <x v="330"/>
    <x v="10"/>
    <s v="C010"/>
    <x v="40"/>
    <s v="Jaipur"/>
    <x v="3"/>
    <d v="2023-01-28T00:00:00"/>
    <s v="P011"/>
    <x v="11"/>
    <x v="0"/>
    <n v="42988.79"/>
    <n v="4"/>
    <n v="0.1"/>
    <n v="154759.64000000001"/>
    <n v="13205.38"/>
  </r>
  <r>
    <s v="O0450"/>
    <x v="319"/>
    <x v="3"/>
    <s v="C095"/>
    <x v="97"/>
    <s v="Noida"/>
    <x v="3"/>
    <d v="2023-08-05T00:00:00"/>
    <s v="P014"/>
    <x v="14"/>
    <x v="0"/>
    <n v="33465.440000000002"/>
    <n v="4"/>
    <n v="0"/>
    <n v="133861.76000000001"/>
    <n v="46705.64"/>
  </r>
  <r>
    <s v="O0451"/>
    <x v="273"/>
    <x v="6"/>
    <s v="C074"/>
    <x v="20"/>
    <s v="Delhi"/>
    <x v="3"/>
    <d v="2023-09-27T00:00:00"/>
    <s v="P010"/>
    <x v="7"/>
    <x v="2"/>
    <n v="45275.73"/>
    <n v="4"/>
    <n v="0"/>
    <n v="181102.92"/>
    <n v="15718.14"/>
  </r>
  <r>
    <s v="O0452"/>
    <x v="331"/>
    <x v="6"/>
    <s v="C018"/>
    <x v="53"/>
    <s v="Kolkata"/>
    <x v="2"/>
    <d v="2023-12-11T00:00:00"/>
    <s v="P011"/>
    <x v="11"/>
    <x v="0"/>
    <n v="42988.79"/>
    <n v="4"/>
    <n v="0"/>
    <n v="171955.16"/>
    <n v="54957.51"/>
  </r>
  <r>
    <s v="O0453"/>
    <x v="88"/>
    <x v="2"/>
    <s v="C054"/>
    <x v="5"/>
    <s v="Chennai"/>
    <x v="0"/>
    <d v="2023-09-27T00:00:00"/>
    <s v="P003"/>
    <x v="10"/>
    <x v="1"/>
    <n v="16937.37"/>
    <n v="1"/>
    <n v="0.2"/>
    <n v="13549.9"/>
    <n v="3449.52"/>
  </r>
  <r>
    <s v="O0454"/>
    <x v="91"/>
    <x v="5"/>
    <s v="C041"/>
    <x v="41"/>
    <s v="Gurugram"/>
    <x v="3"/>
    <d v="2024-01-24T00:00:00"/>
    <s v="P013"/>
    <x v="3"/>
    <x v="0"/>
    <n v="11938.33"/>
    <n v="3"/>
    <n v="0.15"/>
    <n v="30442.74"/>
    <n v="2115.21"/>
  </r>
  <r>
    <s v="O0455"/>
    <x v="332"/>
    <x v="4"/>
    <s v="C053"/>
    <x v="89"/>
    <s v="Kolkata"/>
    <x v="2"/>
    <d v="2024-07-28T00:00:00"/>
    <s v="P015"/>
    <x v="6"/>
    <x v="0"/>
    <n v="10751.13"/>
    <n v="3"/>
    <n v="0"/>
    <n v="32253.39"/>
    <n v="9850.4599999999991"/>
  </r>
  <r>
    <s v="O0456"/>
    <x v="333"/>
    <x v="0"/>
    <s v="C013"/>
    <x v="71"/>
    <s v="Kolkata"/>
    <x v="2"/>
    <d v="2024-04-04T00:00:00"/>
    <s v="P008"/>
    <x v="9"/>
    <x v="2"/>
    <n v="31573.59"/>
    <n v="2"/>
    <n v="0.2"/>
    <n v="50517.74"/>
    <n v="8004.42"/>
  </r>
  <r>
    <s v="O0457"/>
    <x v="11"/>
    <x v="0"/>
    <s v="C034"/>
    <x v="46"/>
    <s v="Pune"/>
    <x v="1"/>
    <d v="2023-06-16T00:00:00"/>
    <s v="P011"/>
    <x v="11"/>
    <x v="0"/>
    <n v="42988.79"/>
    <n v="1"/>
    <n v="0"/>
    <n v="42988.79"/>
    <n v="12364.42"/>
  </r>
  <r>
    <s v="O0458"/>
    <x v="334"/>
    <x v="0"/>
    <s v="C048"/>
    <x v="88"/>
    <s v="Kolkata"/>
    <x v="2"/>
    <d v="2024-08-03T00:00:00"/>
    <s v="P009"/>
    <x v="12"/>
    <x v="2"/>
    <n v="11485.64"/>
    <n v="4"/>
    <n v="0"/>
    <n v="45942.559999999998"/>
    <n v="7271.28"/>
  </r>
  <r>
    <s v="O0459"/>
    <x v="40"/>
    <x v="5"/>
    <s v="C019"/>
    <x v="83"/>
    <s v="Mumbai"/>
    <x v="1"/>
    <d v="2023-04-05T00:00:00"/>
    <s v="P001"/>
    <x v="2"/>
    <x v="1"/>
    <n v="6094.16"/>
    <n v="3"/>
    <n v="0.05"/>
    <n v="17368.36"/>
    <n v="5055.8999999999996"/>
  </r>
  <r>
    <s v="O0460"/>
    <x v="335"/>
    <x v="6"/>
    <s v="C006"/>
    <x v="6"/>
    <s v="Jaipur"/>
    <x v="3"/>
    <d v="2024-03-08T00:00:00"/>
    <s v="P001"/>
    <x v="2"/>
    <x v="1"/>
    <n v="6094.16"/>
    <n v="2"/>
    <n v="0.1"/>
    <n v="10969.49"/>
    <n v="3458.39"/>
  </r>
  <r>
    <s v="O0461"/>
    <x v="336"/>
    <x v="8"/>
    <s v="C020"/>
    <x v="33"/>
    <s v="Noida"/>
    <x v="3"/>
    <d v="2023-04-10T00:00:00"/>
    <s v="P015"/>
    <x v="6"/>
    <x v="0"/>
    <n v="10751.13"/>
    <n v="3"/>
    <n v="0.05"/>
    <n v="30640.720000000001"/>
    <n v="10720.53"/>
  </r>
  <r>
    <s v="O0462"/>
    <x v="337"/>
    <x v="0"/>
    <s v="C037"/>
    <x v="1"/>
    <s v="Hyderabad"/>
    <x v="0"/>
    <d v="2024-12-19T00:00:00"/>
    <s v="P014"/>
    <x v="14"/>
    <x v="0"/>
    <n v="33465.440000000002"/>
    <n v="5"/>
    <n v="0.05"/>
    <n v="158960.84"/>
    <n v="44628.15"/>
  </r>
  <r>
    <s v="O0463"/>
    <x v="338"/>
    <x v="3"/>
    <s v="C058"/>
    <x v="28"/>
    <s v="Bengaluru"/>
    <x v="0"/>
    <d v="2024-06-05T00:00:00"/>
    <s v="P015"/>
    <x v="6"/>
    <x v="0"/>
    <n v="10751.13"/>
    <n v="1"/>
    <n v="0"/>
    <n v="10751.13"/>
    <n v="3673.81"/>
  </r>
  <r>
    <s v="O0464"/>
    <x v="339"/>
    <x v="11"/>
    <s v="C044"/>
    <x v="15"/>
    <s v="Pune"/>
    <x v="1"/>
    <d v="2023-02-27T00:00:00"/>
    <s v="P012"/>
    <x v="0"/>
    <x v="0"/>
    <n v="3589.32"/>
    <n v="1"/>
    <n v="0.05"/>
    <n v="3409.85"/>
    <n v="647.02"/>
  </r>
  <r>
    <s v="O0465"/>
    <x v="40"/>
    <x v="5"/>
    <s v="C098"/>
    <x v="51"/>
    <s v="Hyderabad"/>
    <x v="0"/>
    <d v="2024-02-13T00:00:00"/>
    <s v="P010"/>
    <x v="7"/>
    <x v="2"/>
    <n v="45275.73"/>
    <n v="3"/>
    <n v="0"/>
    <n v="135827.19"/>
    <n v="42566.62"/>
  </r>
  <r>
    <s v="O0466"/>
    <x v="340"/>
    <x v="8"/>
    <s v="C021"/>
    <x v="29"/>
    <s v="Pune"/>
    <x v="1"/>
    <d v="2023-12-19T00:00:00"/>
    <s v="P012"/>
    <x v="0"/>
    <x v="0"/>
    <n v="3589.32"/>
    <n v="5"/>
    <n v="0"/>
    <n v="17946.599999999999"/>
    <n v="5031.05"/>
  </r>
  <r>
    <s v="O0467"/>
    <x v="341"/>
    <x v="9"/>
    <s v="C089"/>
    <x v="76"/>
    <s v="Gurugram"/>
    <x v="3"/>
    <d v="2023-03-12T00:00:00"/>
    <s v="P002"/>
    <x v="1"/>
    <x v="1"/>
    <n v="11273.63"/>
    <n v="4"/>
    <n v="0.1"/>
    <n v="40585.07"/>
    <n v="13117.65"/>
  </r>
  <r>
    <s v="O0468"/>
    <x v="214"/>
    <x v="11"/>
    <s v="C052"/>
    <x v="18"/>
    <s v="Hyderabad"/>
    <x v="0"/>
    <d v="2023-05-23T00:00:00"/>
    <s v="P005"/>
    <x v="13"/>
    <x v="1"/>
    <n v="11544.23"/>
    <n v="1"/>
    <n v="0.1"/>
    <n v="10389.81"/>
    <n v="996.43"/>
  </r>
  <r>
    <s v="O0469"/>
    <x v="177"/>
    <x v="0"/>
    <s v="C054"/>
    <x v="5"/>
    <s v="Chennai"/>
    <x v="0"/>
    <d v="2023-09-27T00:00:00"/>
    <s v="P013"/>
    <x v="3"/>
    <x v="0"/>
    <n v="11938.33"/>
    <n v="2"/>
    <n v="0"/>
    <n v="23876.66"/>
    <n v="7889.36"/>
  </r>
  <r>
    <s v="O0470"/>
    <x v="265"/>
    <x v="6"/>
    <s v="C062"/>
    <x v="50"/>
    <s v="Bengaluru"/>
    <x v="0"/>
    <d v="2024-11-27T00:00:00"/>
    <s v="P004"/>
    <x v="8"/>
    <x v="1"/>
    <n v="29436.02"/>
    <n v="3"/>
    <n v="0.1"/>
    <n v="79477.25"/>
    <n v="25311.74"/>
  </r>
  <r>
    <s v="O0471"/>
    <x v="40"/>
    <x v="5"/>
    <s v="C098"/>
    <x v="51"/>
    <s v="Hyderabad"/>
    <x v="0"/>
    <d v="2024-02-13T00:00:00"/>
    <s v="P005"/>
    <x v="13"/>
    <x v="1"/>
    <n v="11544.23"/>
    <n v="3"/>
    <n v="0"/>
    <n v="34632.69"/>
    <n v="8329.76"/>
  </r>
  <r>
    <s v="O0472"/>
    <x v="342"/>
    <x v="10"/>
    <s v="C058"/>
    <x v="28"/>
    <s v="Bengaluru"/>
    <x v="0"/>
    <d v="2024-06-05T00:00:00"/>
    <s v="P006"/>
    <x v="5"/>
    <x v="2"/>
    <n v="11049.86"/>
    <n v="3"/>
    <n v="0"/>
    <n v="33149.58"/>
    <n v="7873.25"/>
  </r>
  <r>
    <s v="O0473"/>
    <x v="343"/>
    <x v="11"/>
    <s v="C038"/>
    <x v="58"/>
    <s v="Mumbai"/>
    <x v="1"/>
    <d v="2024-09-15T00:00:00"/>
    <s v="P005"/>
    <x v="13"/>
    <x v="1"/>
    <n v="11544.23"/>
    <n v="5"/>
    <n v="0"/>
    <n v="57721.15"/>
    <n v="11588.79"/>
  </r>
  <r>
    <s v="O0474"/>
    <x v="2"/>
    <x v="2"/>
    <s v="C086"/>
    <x v="3"/>
    <s v="Kolkata"/>
    <x v="2"/>
    <d v="2023-03-01T00:00:00"/>
    <s v="P014"/>
    <x v="14"/>
    <x v="0"/>
    <n v="33465.440000000002"/>
    <n v="5"/>
    <n v="0.1"/>
    <n v="150594.48000000001"/>
    <n v="14495.97"/>
  </r>
  <r>
    <s v="O0475"/>
    <x v="344"/>
    <x v="4"/>
    <s v="C069"/>
    <x v="94"/>
    <s v="Mumbai"/>
    <x v="1"/>
    <d v="2024-11-29T00:00:00"/>
    <s v="P003"/>
    <x v="10"/>
    <x v="1"/>
    <n v="16937.37"/>
    <n v="5"/>
    <n v="0.15"/>
    <n v="71983.820000000007"/>
    <n v="23078.03"/>
  </r>
  <r>
    <s v="O0476"/>
    <x v="345"/>
    <x v="7"/>
    <s v="C058"/>
    <x v="28"/>
    <s v="Bengaluru"/>
    <x v="0"/>
    <d v="2024-06-05T00:00:00"/>
    <s v="P005"/>
    <x v="13"/>
    <x v="1"/>
    <n v="11544.23"/>
    <n v="5"/>
    <n v="0"/>
    <n v="57721.15"/>
    <n v="17176.13"/>
  </r>
  <r>
    <s v="O0477"/>
    <x v="346"/>
    <x v="0"/>
    <s v="C049"/>
    <x v="24"/>
    <s v="Pune"/>
    <x v="1"/>
    <d v="2023-08-06T00:00:00"/>
    <s v="P014"/>
    <x v="14"/>
    <x v="0"/>
    <n v="33465.440000000002"/>
    <n v="1"/>
    <n v="0"/>
    <n v="33465.440000000002"/>
    <n v="11196.33"/>
  </r>
  <r>
    <s v="O0478"/>
    <x v="347"/>
    <x v="0"/>
    <s v="C072"/>
    <x v="0"/>
    <s v="Hyderabad"/>
    <x v="0"/>
    <d v="2024-03-21T00:00:00"/>
    <s v="P011"/>
    <x v="11"/>
    <x v="0"/>
    <n v="42988.79"/>
    <n v="3"/>
    <n v="0.15"/>
    <n v="109621.41"/>
    <n v="12413.8"/>
  </r>
  <r>
    <s v="O0479"/>
    <x v="201"/>
    <x v="8"/>
    <s v="C032"/>
    <x v="43"/>
    <s v="Mumbai"/>
    <x v="1"/>
    <d v="2024-01-25T00:00:00"/>
    <s v="P006"/>
    <x v="5"/>
    <x v="2"/>
    <n v="11049.86"/>
    <n v="4"/>
    <n v="0.1"/>
    <n v="39779.5"/>
    <n v="9614.6"/>
  </r>
  <r>
    <s v="O0480"/>
    <x v="137"/>
    <x v="2"/>
    <s v="C040"/>
    <x v="63"/>
    <s v="Kolkata"/>
    <x v="2"/>
    <d v="2023-06-17T00:00:00"/>
    <s v="P013"/>
    <x v="3"/>
    <x v="0"/>
    <n v="11938.33"/>
    <n v="5"/>
    <n v="0"/>
    <n v="59691.65"/>
    <n v="14479.53"/>
  </r>
  <r>
    <s v="O0481"/>
    <x v="289"/>
    <x v="4"/>
    <s v="C053"/>
    <x v="89"/>
    <s v="Kolkata"/>
    <x v="2"/>
    <d v="2024-07-28T00:00:00"/>
    <s v="P014"/>
    <x v="14"/>
    <x v="0"/>
    <n v="33465.440000000002"/>
    <n v="4"/>
    <n v="0"/>
    <n v="133861.76000000001"/>
    <n v="39008.18"/>
  </r>
  <r>
    <s v="O0482"/>
    <x v="348"/>
    <x v="4"/>
    <s v="C087"/>
    <x v="45"/>
    <s v="Kolkata"/>
    <x v="2"/>
    <d v="2024-08-03T00:00:00"/>
    <s v="P013"/>
    <x v="3"/>
    <x v="0"/>
    <n v="11938.33"/>
    <n v="4"/>
    <n v="0"/>
    <n v="47753.32"/>
    <n v="8885.14"/>
  </r>
  <r>
    <s v="O0483"/>
    <x v="134"/>
    <x v="8"/>
    <s v="C084"/>
    <x v="57"/>
    <s v="Delhi"/>
    <x v="3"/>
    <d v="2023-04-25T00:00:00"/>
    <s v="P003"/>
    <x v="10"/>
    <x v="1"/>
    <n v="16937.37"/>
    <n v="1"/>
    <n v="0"/>
    <n v="16937.37"/>
    <n v="3080.6"/>
  </r>
  <r>
    <s v="O0484"/>
    <x v="349"/>
    <x v="8"/>
    <s v="C009"/>
    <x v="30"/>
    <s v="Kolkata"/>
    <x v="2"/>
    <d v="2024-06-01T00:00:00"/>
    <s v="P013"/>
    <x v="3"/>
    <x v="0"/>
    <n v="11938.33"/>
    <n v="4"/>
    <n v="0"/>
    <n v="47753.32"/>
    <n v="7261.26"/>
  </r>
  <r>
    <s v="O0485"/>
    <x v="57"/>
    <x v="4"/>
    <s v="C046"/>
    <x v="11"/>
    <s v="Pune"/>
    <x v="1"/>
    <d v="2024-02-15T00:00:00"/>
    <s v="P006"/>
    <x v="5"/>
    <x v="2"/>
    <n v="11049.86"/>
    <n v="3"/>
    <n v="0.2"/>
    <n v="26519.66"/>
    <n v="7041.2"/>
  </r>
  <r>
    <s v="O0486"/>
    <x v="310"/>
    <x v="11"/>
    <s v="C099"/>
    <x v="70"/>
    <s v="Pune"/>
    <x v="1"/>
    <d v="2024-03-24T00:00:00"/>
    <s v="P007"/>
    <x v="4"/>
    <x v="2"/>
    <n v="3596.1"/>
    <n v="4"/>
    <n v="0"/>
    <n v="14384.4"/>
    <n v="4001.73"/>
  </r>
  <r>
    <s v="O0487"/>
    <x v="350"/>
    <x v="1"/>
    <s v="C024"/>
    <x v="34"/>
    <s v="Chennai"/>
    <x v="0"/>
    <d v="2023-05-08T00:00:00"/>
    <s v="P008"/>
    <x v="9"/>
    <x v="2"/>
    <n v="31573.59"/>
    <n v="5"/>
    <n v="0"/>
    <n v="157867.95000000001"/>
    <n v="23006.85"/>
  </r>
  <r>
    <s v="O0488"/>
    <x v="351"/>
    <x v="8"/>
    <s v="C023"/>
    <x v="79"/>
    <s v="Delhi"/>
    <x v="3"/>
    <d v="2024-04-15T00:00:00"/>
    <s v="P010"/>
    <x v="7"/>
    <x v="2"/>
    <n v="45275.73"/>
    <n v="1"/>
    <n v="0"/>
    <n v="45275.73"/>
    <n v="8370.52"/>
  </r>
  <r>
    <s v="O0489"/>
    <x v="274"/>
    <x v="7"/>
    <s v="C065"/>
    <x v="68"/>
    <s v="Noida"/>
    <x v="3"/>
    <d v="2024-09-02T00:00:00"/>
    <s v="P002"/>
    <x v="1"/>
    <x v="1"/>
    <n v="11273.63"/>
    <n v="1"/>
    <n v="0"/>
    <n v="11273.63"/>
    <n v="1545.2"/>
  </r>
  <r>
    <s v="O0490"/>
    <x v="325"/>
    <x v="11"/>
    <s v="C019"/>
    <x v="83"/>
    <s v="Mumbai"/>
    <x v="1"/>
    <d v="2023-04-05T00:00:00"/>
    <s v="P008"/>
    <x v="9"/>
    <x v="2"/>
    <n v="31573.59"/>
    <n v="5"/>
    <n v="0.05"/>
    <n v="149974.54999999999"/>
    <n v="18668.990000000002"/>
  </r>
  <r>
    <s v="O0491"/>
    <x v="59"/>
    <x v="5"/>
    <s v="C049"/>
    <x v="24"/>
    <s v="Pune"/>
    <x v="1"/>
    <d v="2023-08-06T00:00:00"/>
    <s v="P013"/>
    <x v="3"/>
    <x v="0"/>
    <n v="11938.33"/>
    <n v="3"/>
    <n v="0.1"/>
    <n v="32233.49"/>
    <n v="8585.02"/>
  </r>
  <r>
    <s v="O0492"/>
    <x v="3"/>
    <x v="1"/>
    <s v="C065"/>
    <x v="68"/>
    <s v="Noida"/>
    <x v="3"/>
    <d v="2024-09-02T00:00:00"/>
    <s v="P001"/>
    <x v="2"/>
    <x v="1"/>
    <n v="6094.16"/>
    <n v="2"/>
    <n v="0.05"/>
    <n v="11578.9"/>
    <n v="4038.61"/>
  </r>
  <r>
    <s v="O0493"/>
    <x v="212"/>
    <x v="1"/>
    <s v="C077"/>
    <x v="87"/>
    <s v="Hyderabad"/>
    <x v="0"/>
    <d v="2024-10-16T00:00:00"/>
    <s v="P006"/>
    <x v="5"/>
    <x v="2"/>
    <n v="11049.86"/>
    <n v="4"/>
    <n v="0"/>
    <n v="44199.44"/>
    <n v="8805.02"/>
  </r>
  <r>
    <s v="O0494"/>
    <x v="311"/>
    <x v="10"/>
    <s v="C066"/>
    <x v="25"/>
    <s v="Gurugram"/>
    <x v="3"/>
    <d v="2024-06-25T00:00:00"/>
    <s v="P007"/>
    <x v="4"/>
    <x v="2"/>
    <n v="3596.1"/>
    <n v="4"/>
    <n v="0.1"/>
    <n v="12945.96"/>
    <n v="2423.08"/>
  </r>
  <r>
    <s v="O0495"/>
    <x v="352"/>
    <x v="9"/>
    <s v="C029"/>
    <x v="85"/>
    <s v="Mumbai"/>
    <x v="1"/>
    <d v="2023-02-16T00:00:00"/>
    <s v="P008"/>
    <x v="9"/>
    <x v="2"/>
    <n v="31573.59"/>
    <n v="2"/>
    <n v="0.1"/>
    <n v="56832.46"/>
    <n v="8858.39"/>
  </r>
  <r>
    <s v="O0496"/>
    <x v="31"/>
    <x v="3"/>
    <s v="C073"/>
    <x v="73"/>
    <s v="Bengaluru"/>
    <x v="0"/>
    <d v="2024-04-09T00:00:00"/>
    <s v="P002"/>
    <x v="1"/>
    <x v="1"/>
    <n v="11273.63"/>
    <n v="3"/>
    <n v="0.05"/>
    <n v="32129.85"/>
    <n v="7365.95"/>
  </r>
  <r>
    <s v="O0497"/>
    <x v="49"/>
    <x v="1"/>
    <s v="C095"/>
    <x v="97"/>
    <s v="Noida"/>
    <x v="3"/>
    <d v="2023-08-05T00:00:00"/>
    <s v="P005"/>
    <x v="13"/>
    <x v="1"/>
    <n v="11544.23"/>
    <n v="4"/>
    <n v="0"/>
    <n v="46176.92"/>
    <n v="9743.66"/>
  </r>
  <r>
    <s v="O0498"/>
    <x v="213"/>
    <x v="7"/>
    <s v="C075"/>
    <x v="96"/>
    <s v="Chennai"/>
    <x v="0"/>
    <d v="2023-07-02T00:00:00"/>
    <s v="P014"/>
    <x v="14"/>
    <x v="0"/>
    <n v="33465.440000000002"/>
    <n v="4"/>
    <n v="0"/>
    <n v="133861.76000000001"/>
    <n v="42131.21"/>
  </r>
  <r>
    <s v="O0499"/>
    <x v="37"/>
    <x v="9"/>
    <s v="C040"/>
    <x v="63"/>
    <s v="Kolkata"/>
    <x v="2"/>
    <d v="2023-06-17T00:00:00"/>
    <s v="P004"/>
    <x v="8"/>
    <x v="1"/>
    <n v="29436.02"/>
    <n v="4"/>
    <n v="0"/>
    <n v="117744.08"/>
    <n v="7485.31"/>
  </r>
  <r>
    <s v="O0500"/>
    <x v="34"/>
    <x v="5"/>
    <s v="C076"/>
    <x v="91"/>
    <s v="Chennai"/>
    <x v="0"/>
    <d v="2023-04-19T00:00:00"/>
    <s v="P004"/>
    <x v="8"/>
    <x v="1"/>
    <n v="29436.02"/>
    <n v="5"/>
    <n v="0.1"/>
    <n v="132462.09"/>
    <n v="14358.44"/>
  </r>
  <r>
    <s v="O0501"/>
    <x v="353"/>
    <x v="1"/>
    <s v="C020"/>
    <x v="33"/>
    <s v="Noida"/>
    <x v="3"/>
    <d v="2023-04-10T00:00:00"/>
    <s v="P012"/>
    <x v="0"/>
    <x v="0"/>
    <n v="3589.32"/>
    <n v="3"/>
    <n v="0"/>
    <n v="10767.96"/>
    <n v="1786.45"/>
  </r>
  <r>
    <s v="O0502"/>
    <x v="354"/>
    <x v="10"/>
    <s v="C051"/>
    <x v="90"/>
    <s v="Gurugram"/>
    <x v="3"/>
    <d v="2023-05-27T00:00:00"/>
    <s v="P010"/>
    <x v="7"/>
    <x v="2"/>
    <n v="45275.73"/>
    <n v="5"/>
    <n v="0"/>
    <n v="226378.65"/>
    <n v="67368.789999999994"/>
  </r>
  <r>
    <s v="O0503"/>
    <x v="355"/>
    <x v="1"/>
    <s v="C033"/>
    <x v="99"/>
    <s v="Hyderabad"/>
    <x v="0"/>
    <d v="2024-04-09T00:00:00"/>
    <s v="P008"/>
    <x v="9"/>
    <x v="2"/>
    <n v="31573.59"/>
    <n v="5"/>
    <n v="0"/>
    <n v="157867.95000000001"/>
    <n v="13986.95"/>
  </r>
  <r>
    <s v="O0504"/>
    <x v="5"/>
    <x v="4"/>
    <s v="C047"/>
    <x v="10"/>
    <s v="Hyderabad"/>
    <x v="0"/>
    <d v="2023-03-09T00:00:00"/>
    <s v="P011"/>
    <x v="11"/>
    <x v="0"/>
    <n v="42988.79"/>
    <n v="4"/>
    <n v="0"/>
    <n v="171955.16"/>
    <n v="49603.76"/>
  </r>
  <r>
    <s v="O0505"/>
    <x v="205"/>
    <x v="5"/>
    <s v="C091"/>
    <x v="16"/>
    <s v="Bengaluru"/>
    <x v="0"/>
    <d v="2024-11-06T00:00:00"/>
    <s v="P003"/>
    <x v="10"/>
    <x v="1"/>
    <n v="16937.37"/>
    <n v="5"/>
    <n v="0"/>
    <n v="84686.85"/>
    <n v="23415.03"/>
  </r>
  <r>
    <s v="O0506"/>
    <x v="356"/>
    <x v="9"/>
    <s v="C016"/>
    <x v="4"/>
    <s v="Noida"/>
    <x v="3"/>
    <d v="2023-12-15T00:00:00"/>
    <s v="P011"/>
    <x v="11"/>
    <x v="0"/>
    <n v="42988.79"/>
    <n v="5"/>
    <n v="0.1"/>
    <n v="193449.56"/>
    <n v="32966.92"/>
  </r>
  <r>
    <s v="O0507"/>
    <x v="167"/>
    <x v="4"/>
    <s v="C044"/>
    <x v="15"/>
    <s v="Pune"/>
    <x v="1"/>
    <d v="2023-02-27T00:00:00"/>
    <s v="P014"/>
    <x v="14"/>
    <x v="0"/>
    <n v="33465.440000000002"/>
    <n v="1"/>
    <n v="0"/>
    <n v="33465.440000000002"/>
    <n v="3049.07"/>
  </r>
  <r>
    <s v="O0508"/>
    <x v="357"/>
    <x v="10"/>
    <s v="C026"/>
    <x v="37"/>
    <s v="Chennai"/>
    <x v="0"/>
    <d v="2023-10-28T00:00:00"/>
    <s v="P012"/>
    <x v="0"/>
    <x v="0"/>
    <n v="3589.32"/>
    <n v="4"/>
    <n v="0.1"/>
    <n v="12921.55"/>
    <n v="2417.58"/>
  </r>
  <r>
    <s v="O0509"/>
    <x v="358"/>
    <x v="10"/>
    <s v="C065"/>
    <x v="68"/>
    <s v="Noida"/>
    <x v="3"/>
    <d v="2024-09-02T00:00:00"/>
    <s v="P001"/>
    <x v="2"/>
    <x v="1"/>
    <n v="6094.16"/>
    <n v="5"/>
    <n v="0"/>
    <n v="30470.799999999999"/>
    <n v="4521.55"/>
  </r>
  <r>
    <s v="O0510"/>
    <x v="359"/>
    <x v="10"/>
    <s v="C087"/>
    <x v="45"/>
    <s v="Kolkata"/>
    <x v="2"/>
    <d v="2024-08-03T00:00:00"/>
    <s v="P002"/>
    <x v="1"/>
    <x v="1"/>
    <n v="11273.63"/>
    <n v="3"/>
    <n v="0"/>
    <n v="33820.89"/>
    <n v="5678.07"/>
  </r>
  <r>
    <s v="O0511"/>
    <x v="360"/>
    <x v="11"/>
    <s v="C078"/>
    <x v="69"/>
    <s v="Chennai"/>
    <x v="0"/>
    <d v="2024-09-15T00:00:00"/>
    <s v="P015"/>
    <x v="6"/>
    <x v="0"/>
    <n v="10751.13"/>
    <n v="3"/>
    <n v="0.1"/>
    <n v="29028.05"/>
    <n v="4380.68"/>
  </r>
  <r>
    <s v="O0512"/>
    <x v="197"/>
    <x v="2"/>
    <s v="C066"/>
    <x v="25"/>
    <s v="Gurugram"/>
    <x v="3"/>
    <d v="2024-06-25T00:00:00"/>
    <s v="P011"/>
    <x v="11"/>
    <x v="0"/>
    <n v="42988.79"/>
    <n v="5"/>
    <n v="0.05"/>
    <n v="204196.75"/>
    <n v="53626.55"/>
  </r>
  <r>
    <s v="O0513"/>
    <x v="361"/>
    <x v="4"/>
    <s v="C079"/>
    <x v="66"/>
    <s v="Kolkata"/>
    <x v="2"/>
    <d v="2023-06-06T00:00:00"/>
    <s v="P012"/>
    <x v="0"/>
    <x v="0"/>
    <n v="3589.32"/>
    <n v="4"/>
    <n v="0.2"/>
    <n v="11485.82"/>
    <n v="631.62"/>
  </r>
  <r>
    <s v="O0514"/>
    <x v="362"/>
    <x v="4"/>
    <s v="C063"/>
    <x v="21"/>
    <s v="Noida"/>
    <x v="3"/>
    <d v="2024-09-02T00:00:00"/>
    <s v="P011"/>
    <x v="11"/>
    <x v="0"/>
    <n v="42988.79"/>
    <n v="1"/>
    <n v="0.05"/>
    <n v="40839.35"/>
    <n v="9193.3700000000008"/>
  </r>
  <r>
    <s v="O0515"/>
    <x v="268"/>
    <x v="2"/>
    <s v="C028"/>
    <x v="23"/>
    <s v="Jaipur"/>
    <x v="3"/>
    <d v="2023-07-16T00:00:00"/>
    <s v="P005"/>
    <x v="13"/>
    <x v="1"/>
    <n v="11544.23"/>
    <n v="1"/>
    <n v="0.1"/>
    <n v="10389.81"/>
    <n v="1998.76"/>
  </r>
  <r>
    <s v="O0516"/>
    <x v="37"/>
    <x v="9"/>
    <s v="C053"/>
    <x v="89"/>
    <s v="Kolkata"/>
    <x v="2"/>
    <d v="2024-07-28T00:00:00"/>
    <s v="P007"/>
    <x v="4"/>
    <x v="2"/>
    <n v="3596.1"/>
    <n v="5"/>
    <n v="0.1"/>
    <n v="16182.45"/>
    <n v="1913.78"/>
  </r>
  <r>
    <s v="O0517"/>
    <x v="363"/>
    <x v="3"/>
    <s v="C020"/>
    <x v="33"/>
    <s v="Noida"/>
    <x v="3"/>
    <d v="2023-04-10T00:00:00"/>
    <s v="P007"/>
    <x v="4"/>
    <x v="2"/>
    <n v="3596.1"/>
    <n v="5"/>
    <n v="0.05"/>
    <n v="17081.47"/>
    <n v="1727.85"/>
  </r>
  <r>
    <s v="O0518"/>
    <x v="76"/>
    <x v="8"/>
    <s v="C082"/>
    <x v="64"/>
    <s v="Delhi"/>
    <x v="3"/>
    <d v="2024-09-05T00:00:00"/>
    <s v="P011"/>
    <x v="11"/>
    <x v="0"/>
    <n v="42988.79"/>
    <n v="5"/>
    <n v="0.2"/>
    <n v="171955.16"/>
    <n v="51990.67"/>
  </r>
  <r>
    <s v="O0519"/>
    <x v="364"/>
    <x v="4"/>
    <s v="C023"/>
    <x v="79"/>
    <s v="Delhi"/>
    <x v="3"/>
    <d v="2024-04-15T00:00:00"/>
    <s v="P006"/>
    <x v="5"/>
    <x v="2"/>
    <n v="11049.86"/>
    <n v="2"/>
    <n v="0"/>
    <n v="22099.72"/>
    <n v="4901.08"/>
  </r>
  <r>
    <s v="O0520"/>
    <x v="365"/>
    <x v="2"/>
    <s v="C085"/>
    <x v="2"/>
    <s v="Pune"/>
    <x v="1"/>
    <d v="2023-11-11T00:00:00"/>
    <s v="P004"/>
    <x v="8"/>
    <x v="1"/>
    <n v="29436.02"/>
    <n v="1"/>
    <n v="0"/>
    <n v="29436.02"/>
    <n v="1639.03"/>
  </r>
  <r>
    <s v="O0521"/>
    <x v="366"/>
    <x v="5"/>
    <s v="C009"/>
    <x v="30"/>
    <s v="Kolkata"/>
    <x v="2"/>
    <d v="2024-06-01T00:00:00"/>
    <s v="P003"/>
    <x v="10"/>
    <x v="1"/>
    <n v="16937.37"/>
    <n v="4"/>
    <n v="0"/>
    <n v="67749.48"/>
    <n v="11780.82"/>
  </r>
  <r>
    <s v="O0522"/>
    <x v="216"/>
    <x v="1"/>
    <s v="C096"/>
    <x v="81"/>
    <s v="Chennai"/>
    <x v="0"/>
    <d v="2024-12-07T00:00:00"/>
    <s v="P013"/>
    <x v="3"/>
    <x v="0"/>
    <n v="11938.33"/>
    <n v="4"/>
    <n v="0.1"/>
    <n v="42977.99"/>
    <n v="12140.93"/>
  </r>
  <r>
    <s v="O0523"/>
    <x v="367"/>
    <x v="5"/>
    <s v="C058"/>
    <x v="28"/>
    <s v="Bengaluru"/>
    <x v="0"/>
    <d v="2024-06-05T00:00:00"/>
    <s v="P005"/>
    <x v="13"/>
    <x v="1"/>
    <n v="11544.23"/>
    <n v="1"/>
    <n v="0.15"/>
    <n v="9812.6"/>
    <n v="897.11"/>
  </r>
  <r>
    <s v="O0524"/>
    <x v="143"/>
    <x v="8"/>
    <s v="C026"/>
    <x v="37"/>
    <s v="Chennai"/>
    <x v="0"/>
    <d v="2023-10-28T00:00:00"/>
    <s v="P013"/>
    <x v="3"/>
    <x v="0"/>
    <n v="11938.33"/>
    <n v="5"/>
    <n v="0"/>
    <n v="59691.65"/>
    <n v="20858.46"/>
  </r>
  <r>
    <s v="O0525"/>
    <x v="368"/>
    <x v="11"/>
    <s v="C060"/>
    <x v="74"/>
    <s v="Delhi"/>
    <x v="3"/>
    <d v="2023-04-23T00:00:00"/>
    <s v="P006"/>
    <x v="5"/>
    <x v="2"/>
    <n v="11049.86"/>
    <n v="5"/>
    <n v="0.05"/>
    <n v="52486.84"/>
    <n v="7564.71"/>
  </r>
  <r>
    <s v="O0526"/>
    <x v="369"/>
    <x v="4"/>
    <s v="C015"/>
    <x v="35"/>
    <s v="Delhi"/>
    <x v="3"/>
    <d v="2023-06-13T00:00:00"/>
    <s v="P010"/>
    <x v="7"/>
    <x v="2"/>
    <n v="45275.73"/>
    <n v="4"/>
    <n v="0.1"/>
    <n v="162992.63"/>
    <n v="24888.67"/>
  </r>
  <r>
    <s v="O0527"/>
    <x v="370"/>
    <x v="10"/>
    <s v="C042"/>
    <x v="77"/>
    <s v="Hyderabad"/>
    <x v="0"/>
    <d v="2024-10-17T00:00:00"/>
    <s v="P003"/>
    <x v="10"/>
    <x v="1"/>
    <n v="16937.37"/>
    <n v="3"/>
    <n v="0.1"/>
    <n v="45730.9"/>
    <n v="8929.14"/>
  </r>
  <r>
    <s v="O0528"/>
    <x v="371"/>
    <x v="3"/>
    <s v="C090"/>
    <x v="27"/>
    <s v="Chennai"/>
    <x v="0"/>
    <d v="2023-05-09T00:00:00"/>
    <s v="P015"/>
    <x v="6"/>
    <x v="0"/>
    <n v="10751.13"/>
    <n v="3"/>
    <n v="0.1"/>
    <n v="29028.05"/>
    <n v="4050.86"/>
  </r>
  <r>
    <s v="O0529"/>
    <x v="372"/>
    <x v="4"/>
    <s v="C064"/>
    <x v="60"/>
    <s v="Mumbai"/>
    <x v="1"/>
    <d v="2024-01-30T00:00:00"/>
    <s v="P010"/>
    <x v="7"/>
    <x v="2"/>
    <n v="45275.73"/>
    <n v="3"/>
    <n v="0.15"/>
    <n v="115453.11"/>
    <n v="12951.92"/>
  </r>
  <r>
    <s v="O0530"/>
    <x v="373"/>
    <x v="5"/>
    <s v="C077"/>
    <x v="87"/>
    <s v="Hyderabad"/>
    <x v="0"/>
    <d v="2024-10-16T00:00:00"/>
    <s v="P008"/>
    <x v="9"/>
    <x v="2"/>
    <n v="31573.59"/>
    <n v="4"/>
    <n v="0"/>
    <n v="126294.36"/>
    <n v="24493.66"/>
  </r>
  <r>
    <s v="O0531"/>
    <x v="215"/>
    <x v="2"/>
    <s v="C069"/>
    <x v="94"/>
    <s v="Mumbai"/>
    <x v="1"/>
    <d v="2024-11-29T00:00:00"/>
    <s v="P012"/>
    <x v="0"/>
    <x v="0"/>
    <n v="3589.32"/>
    <n v="3"/>
    <n v="0"/>
    <n v="10767.96"/>
    <n v="932.1"/>
  </r>
  <r>
    <s v="O0532"/>
    <x v="374"/>
    <x v="9"/>
    <s v="C040"/>
    <x v="63"/>
    <s v="Kolkata"/>
    <x v="2"/>
    <d v="2023-06-17T00:00:00"/>
    <s v="P014"/>
    <x v="14"/>
    <x v="0"/>
    <n v="33465.440000000002"/>
    <n v="5"/>
    <n v="0.05"/>
    <n v="158960.84"/>
    <n v="50665.29"/>
  </r>
  <r>
    <s v="O0533"/>
    <x v="375"/>
    <x v="3"/>
    <s v="C009"/>
    <x v="30"/>
    <s v="Kolkata"/>
    <x v="2"/>
    <d v="2024-06-01T00:00:00"/>
    <s v="P015"/>
    <x v="6"/>
    <x v="0"/>
    <n v="10751.13"/>
    <n v="3"/>
    <n v="0.2"/>
    <n v="25802.71"/>
    <n v="7518.52"/>
  </r>
  <r>
    <s v="O0534"/>
    <x v="265"/>
    <x v="6"/>
    <s v="C068"/>
    <x v="44"/>
    <s v="Delhi"/>
    <x v="3"/>
    <d v="2024-11-27T00:00:00"/>
    <s v="P013"/>
    <x v="3"/>
    <x v="0"/>
    <n v="11938.33"/>
    <n v="1"/>
    <n v="0"/>
    <n v="11938.33"/>
    <n v="4018.37"/>
  </r>
  <r>
    <s v="O0535"/>
    <x v="336"/>
    <x v="8"/>
    <s v="C093"/>
    <x v="86"/>
    <s v="Bengaluru"/>
    <x v="0"/>
    <d v="2023-09-29T00:00:00"/>
    <s v="P006"/>
    <x v="5"/>
    <x v="2"/>
    <n v="11049.86"/>
    <n v="3"/>
    <n v="0.05"/>
    <n v="31492.1"/>
    <n v="7771.99"/>
  </r>
  <r>
    <s v="O0536"/>
    <x v="131"/>
    <x v="3"/>
    <s v="C058"/>
    <x v="28"/>
    <s v="Bengaluru"/>
    <x v="0"/>
    <d v="2024-06-05T00:00:00"/>
    <s v="P005"/>
    <x v="13"/>
    <x v="1"/>
    <n v="11544.23"/>
    <n v="2"/>
    <n v="0"/>
    <n v="23088.46"/>
    <n v="6889.26"/>
  </r>
  <r>
    <s v="O0537"/>
    <x v="376"/>
    <x v="1"/>
    <s v="C021"/>
    <x v="29"/>
    <s v="Pune"/>
    <x v="1"/>
    <d v="2023-12-19T00:00:00"/>
    <s v="P015"/>
    <x v="6"/>
    <x v="0"/>
    <n v="10751.13"/>
    <n v="5"/>
    <n v="0.15"/>
    <n v="45692.3"/>
    <n v="6007.92"/>
  </r>
  <r>
    <s v="O0538"/>
    <x v="377"/>
    <x v="10"/>
    <s v="C009"/>
    <x v="30"/>
    <s v="Kolkata"/>
    <x v="2"/>
    <d v="2024-06-01T00:00:00"/>
    <s v="P006"/>
    <x v="5"/>
    <x v="2"/>
    <n v="11049.86"/>
    <n v="5"/>
    <n v="0.15"/>
    <n v="46961.9"/>
    <n v="10615.7"/>
  </r>
  <r>
    <s v="O0539"/>
    <x v="148"/>
    <x v="0"/>
    <s v="C095"/>
    <x v="97"/>
    <s v="Noida"/>
    <x v="3"/>
    <d v="2023-08-05T00:00:00"/>
    <s v="P004"/>
    <x v="8"/>
    <x v="1"/>
    <n v="29436.02"/>
    <n v="1"/>
    <n v="0.15"/>
    <n v="25020.62"/>
    <n v="8045.51"/>
  </r>
  <r>
    <s v="O0540"/>
    <x v="378"/>
    <x v="4"/>
    <s v="C054"/>
    <x v="5"/>
    <s v="Chennai"/>
    <x v="0"/>
    <d v="2023-09-27T00:00:00"/>
    <s v="P005"/>
    <x v="13"/>
    <x v="1"/>
    <n v="11544.23"/>
    <n v="2"/>
    <n v="0"/>
    <n v="23088.46"/>
    <n v="1848.45"/>
  </r>
  <r>
    <s v="O0541"/>
    <x v="379"/>
    <x v="8"/>
    <s v="C044"/>
    <x v="15"/>
    <s v="Pune"/>
    <x v="1"/>
    <d v="2023-02-27T00:00:00"/>
    <s v="P001"/>
    <x v="2"/>
    <x v="1"/>
    <n v="6094.16"/>
    <n v="4"/>
    <n v="0"/>
    <n v="24376.639999999999"/>
    <n v="6200.38"/>
  </r>
  <r>
    <s v="O0542"/>
    <x v="204"/>
    <x v="11"/>
    <s v="C028"/>
    <x v="23"/>
    <s v="Jaipur"/>
    <x v="3"/>
    <d v="2023-07-16T00:00:00"/>
    <s v="P010"/>
    <x v="7"/>
    <x v="2"/>
    <n v="45275.73"/>
    <n v="1"/>
    <n v="0.1"/>
    <n v="40748.160000000003"/>
    <n v="13991.83"/>
  </r>
  <r>
    <s v="O0543"/>
    <x v="128"/>
    <x v="8"/>
    <s v="C055"/>
    <x v="38"/>
    <s v="Jaipur"/>
    <x v="3"/>
    <d v="2024-03-14T00:00:00"/>
    <s v="P007"/>
    <x v="4"/>
    <x v="2"/>
    <n v="3596.1"/>
    <n v="4"/>
    <n v="0.15"/>
    <n v="12226.74"/>
    <n v="4041.06"/>
  </r>
  <r>
    <s v="O0544"/>
    <x v="195"/>
    <x v="3"/>
    <s v="C007"/>
    <x v="56"/>
    <s v="Delhi"/>
    <x v="3"/>
    <d v="2023-01-31T00:00:00"/>
    <s v="P006"/>
    <x v="5"/>
    <x v="2"/>
    <n v="11049.86"/>
    <n v="4"/>
    <n v="0.15"/>
    <n v="37569.519999999997"/>
    <n v="4126.5200000000004"/>
  </r>
  <r>
    <s v="O0545"/>
    <x v="380"/>
    <x v="1"/>
    <s v="C091"/>
    <x v="16"/>
    <s v="Bengaluru"/>
    <x v="0"/>
    <d v="2024-11-06T00:00:00"/>
    <s v="P015"/>
    <x v="6"/>
    <x v="0"/>
    <n v="10751.13"/>
    <n v="3"/>
    <n v="0"/>
    <n v="32253.39"/>
    <n v="7862.39"/>
  </r>
  <r>
    <s v="O0546"/>
    <x v="219"/>
    <x v="9"/>
    <s v="C091"/>
    <x v="16"/>
    <s v="Bengaluru"/>
    <x v="0"/>
    <d v="2024-11-06T00:00:00"/>
    <s v="P015"/>
    <x v="6"/>
    <x v="0"/>
    <n v="10751.13"/>
    <n v="5"/>
    <n v="0"/>
    <n v="53755.65"/>
    <n v="11318.02"/>
  </r>
  <r>
    <s v="O0547"/>
    <x v="120"/>
    <x v="11"/>
    <s v="C089"/>
    <x v="76"/>
    <s v="Gurugram"/>
    <x v="3"/>
    <d v="2023-03-12T00:00:00"/>
    <s v="P005"/>
    <x v="13"/>
    <x v="1"/>
    <n v="11544.23"/>
    <n v="2"/>
    <n v="0.05"/>
    <n v="21934.04"/>
    <n v="6902.06"/>
  </r>
  <r>
    <s v="O0548"/>
    <x v="381"/>
    <x v="8"/>
    <s v="C024"/>
    <x v="34"/>
    <s v="Chennai"/>
    <x v="0"/>
    <d v="2023-05-08T00:00:00"/>
    <s v="P006"/>
    <x v="5"/>
    <x v="2"/>
    <n v="11049.86"/>
    <n v="1"/>
    <n v="0.2"/>
    <n v="8839.89"/>
    <n v="1494.81"/>
  </r>
  <r>
    <s v="O0549"/>
    <x v="382"/>
    <x v="3"/>
    <s v="C052"/>
    <x v="18"/>
    <s v="Hyderabad"/>
    <x v="0"/>
    <d v="2023-05-23T00:00:00"/>
    <s v="P009"/>
    <x v="12"/>
    <x v="2"/>
    <n v="11485.64"/>
    <n v="2"/>
    <n v="0.15"/>
    <n v="19525.59"/>
    <n v="6612.13"/>
  </r>
  <r>
    <s v="O0550"/>
    <x v="96"/>
    <x v="10"/>
    <s v="C008"/>
    <x v="48"/>
    <s v="Mumbai"/>
    <x v="1"/>
    <d v="2023-08-12T00:00:00"/>
    <s v="P006"/>
    <x v="5"/>
    <x v="2"/>
    <n v="11049.86"/>
    <n v="1"/>
    <n v="0"/>
    <n v="11049.86"/>
    <n v="1541.65"/>
  </r>
  <r>
    <s v="O0551"/>
    <x v="383"/>
    <x v="3"/>
    <s v="C064"/>
    <x v="60"/>
    <s v="Mumbai"/>
    <x v="1"/>
    <d v="2024-01-30T00:00:00"/>
    <s v="P014"/>
    <x v="14"/>
    <x v="0"/>
    <n v="33465.440000000002"/>
    <n v="1"/>
    <n v="0"/>
    <n v="33465.440000000002"/>
    <n v="4530.17"/>
  </r>
  <r>
    <s v="O0552"/>
    <x v="33"/>
    <x v="8"/>
    <s v="C086"/>
    <x v="3"/>
    <s v="Kolkata"/>
    <x v="2"/>
    <d v="2023-03-01T00:00:00"/>
    <s v="P007"/>
    <x v="4"/>
    <x v="2"/>
    <n v="3596.1"/>
    <n v="5"/>
    <n v="0.1"/>
    <n v="16182.45"/>
    <n v="3206.94"/>
  </r>
  <r>
    <s v="O0553"/>
    <x v="384"/>
    <x v="1"/>
    <s v="C045"/>
    <x v="42"/>
    <s v="Kolkata"/>
    <x v="2"/>
    <d v="2023-02-02T00:00:00"/>
    <s v="P010"/>
    <x v="7"/>
    <x v="2"/>
    <n v="45275.73"/>
    <n v="5"/>
    <n v="0.05"/>
    <n v="215059.72"/>
    <n v="28355.87"/>
  </r>
  <r>
    <s v="O0554"/>
    <x v="156"/>
    <x v="3"/>
    <s v="C080"/>
    <x v="80"/>
    <s v="Pune"/>
    <x v="1"/>
    <d v="2023-06-15T00:00:00"/>
    <s v="P011"/>
    <x v="11"/>
    <x v="0"/>
    <n v="42988.79"/>
    <n v="3"/>
    <n v="0"/>
    <n v="128966.37"/>
    <n v="34735.26"/>
  </r>
  <r>
    <s v="O0555"/>
    <x v="344"/>
    <x v="4"/>
    <s v="C070"/>
    <x v="92"/>
    <s v="Chennai"/>
    <x v="0"/>
    <d v="2023-10-01T00:00:00"/>
    <s v="P012"/>
    <x v="0"/>
    <x v="0"/>
    <n v="3589.32"/>
    <n v="3"/>
    <n v="0.15"/>
    <n v="9152.77"/>
    <n v="968.91"/>
  </r>
  <r>
    <s v="O0556"/>
    <x v="132"/>
    <x v="5"/>
    <s v="C027"/>
    <x v="49"/>
    <s v="Jaipur"/>
    <x v="3"/>
    <d v="2024-01-06T00:00:00"/>
    <s v="P011"/>
    <x v="11"/>
    <x v="0"/>
    <n v="42988.79"/>
    <n v="3"/>
    <n v="0.1"/>
    <n v="116069.73"/>
    <n v="29286.75"/>
  </r>
  <r>
    <s v="O0557"/>
    <x v="66"/>
    <x v="9"/>
    <s v="C016"/>
    <x v="4"/>
    <s v="Noida"/>
    <x v="3"/>
    <d v="2023-12-15T00:00:00"/>
    <s v="P008"/>
    <x v="9"/>
    <x v="2"/>
    <n v="31573.59"/>
    <n v="2"/>
    <n v="0.1"/>
    <n v="56832.46"/>
    <n v="17438.7"/>
  </r>
  <r>
    <s v="O0558"/>
    <x v="385"/>
    <x v="9"/>
    <s v="C068"/>
    <x v="44"/>
    <s v="Delhi"/>
    <x v="3"/>
    <d v="2024-11-27T00:00:00"/>
    <s v="P015"/>
    <x v="6"/>
    <x v="0"/>
    <n v="10751.13"/>
    <n v="4"/>
    <n v="0.1"/>
    <n v="38704.07"/>
    <n v="5742.83"/>
  </r>
  <r>
    <s v="O0559"/>
    <x v="18"/>
    <x v="8"/>
    <s v="C081"/>
    <x v="98"/>
    <s v="Chennai"/>
    <x v="0"/>
    <d v="2024-06-27T00:00:00"/>
    <s v="P004"/>
    <x v="8"/>
    <x v="1"/>
    <n v="29436.02"/>
    <n v="1"/>
    <n v="0"/>
    <n v="29436.02"/>
    <n v="10140.870000000001"/>
  </r>
  <r>
    <s v="O0560"/>
    <x v="386"/>
    <x v="7"/>
    <s v="C075"/>
    <x v="96"/>
    <s v="Chennai"/>
    <x v="0"/>
    <d v="2023-07-02T00:00:00"/>
    <s v="P001"/>
    <x v="2"/>
    <x v="1"/>
    <n v="6094.16"/>
    <n v="3"/>
    <n v="0"/>
    <n v="18282.48"/>
    <n v="951.59"/>
  </r>
  <r>
    <s v="O0561"/>
    <x v="387"/>
    <x v="4"/>
    <s v="C016"/>
    <x v="4"/>
    <s v="Noida"/>
    <x v="3"/>
    <d v="2023-12-15T00:00:00"/>
    <s v="P004"/>
    <x v="8"/>
    <x v="1"/>
    <n v="29436.02"/>
    <n v="2"/>
    <n v="0.05"/>
    <n v="55928.44"/>
    <n v="15443.35"/>
  </r>
  <r>
    <s v="O0562"/>
    <x v="388"/>
    <x v="7"/>
    <s v="C058"/>
    <x v="28"/>
    <s v="Bengaluru"/>
    <x v="0"/>
    <d v="2024-06-05T00:00:00"/>
    <s v="P003"/>
    <x v="10"/>
    <x v="1"/>
    <n v="16937.37"/>
    <n v="3"/>
    <n v="0.1"/>
    <n v="45730.9"/>
    <n v="12203.97"/>
  </r>
  <r>
    <s v="O0563"/>
    <x v="302"/>
    <x v="0"/>
    <s v="C024"/>
    <x v="34"/>
    <s v="Chennai"/>
    <x v="0"/>
    <d v="2023-05-08T00:00:00"/>
    <s v="P012"/>
    <x v="0"/>
    <x v="0"/>
    <n v="3589.32"/>
    <n v="3"/>
    <n v="0.15"/>
    <n v="9152.77"/>
    <n v="1444.91"/>
  </r>
  <r>
    <s v="O0564"/>
    <x v="389"/>
    <x v="2"/>
    <s v="C006"/>
    <x v="6"/>
    <s v="Jaipur"/>
    <x v="3"/>
    <d v="2024-03-08T00:00:00"/>
    <s v="P007"/>
    <x v="4"/>
    <x v="2"/>
    <n v="3596.1"/>
    <n v="1"/>
    <n v="0.15"/>
    <n v="3056.68"/>
    <n v="261.25"/>
  </r>
  <r>
    <s v="O0565"/>
    <x v="261"/>
    <x v="4"/>
    <s v="C040"/>
    <x v="63"/>
    <s v="Kolkata"/>
    <x v="2"/>
    <d v="2023-06-17T00:00:00"/>
    <s v="P003"/>
    <x v="10"/>
    <x v="1"/>
    <n v="16937.37"/>
    <n v="2"/>
    <n v="0.05"/>
    <n v="32181"/>
    <n v="8232.61"/>
  </r>
  <r>
    <s v="O0566"/>
    <x v="206"/>
    <x v="3"/>
    <s v="C042"/>
    <x v="77"/>
    <s v="Hyderabad"/>
    <x v="0"/>
    <d v="2024-10-17T00:00:00"/>
    <s v="P015"/>
    <x v="6"/>
    <x v="0"/>
    <n v="10751.13"/>
    <n v="3"/>
    <n v="0.15"/>
    <n v="27415.38"/>
    <n v="2336.4699999999998"/>
  </r>
  <r>
    <s v="O0567"/>
    <x v="390"/>
    <x v="8"/>
    <s v="C007"/>
    <x v="56"/>
    <s v="Delhi"/>
    <x v="3"/>
    <d v="2023-01-31T00:00:00"/>
    <s v="P005"/>
    <x v="13"/>
    <x v="1"/>
    <n v="11544.23"/>
    <n v="3"/>
    <n v="0.1"/>
    <n v="31169.42"/>
    <n v="3623.59"/>
  </r>
  <r>
    <s v="O0568"/>
    <x v="357"/>
    <x v="10"/>
    <s v="C091"/>
    <x v="16"/>
    <s v="Bengaluru"/>
    <x v="0"/>
    <d v="2024-11-06T00:00:00"/>
    <s v="P004"/>
    <x v="8"/>
    <x v="1"/>
    <n v="29436.02"/>
    <n v="4"/>
    <n v="0"/>
    <n v="117744.08"/>
    <n v="21958.52"/>
  </r>
  <r>
    <s v="O0569"/>
    <x v="216"/>
    <x v="1"/>
    <s v="C074"/>
    <x v="20"/>
    <s v="Delhi"/>
    <x v="3"/>
    <d v="2023-09-27T00:00:00"/>
    <s v="P013"/>
    <x v="3"/>
    <x v="0"/>
    <n v="11938.33"/>
    <n v="3"/>
    <n v="0.05"/>
    <n v="34024.239999999998"/>
    <n v="8866.11"/>
  </r>
  <r>
    <s v="O0570"/>
    <x v="391"/>
    <x v="0"/>
    <s v="C026"/>
    <x v="37"/>
    <s v="Chennai"/>
    <x v="0"/>
    <d v="2023-10-28T00:00:00"/>
    <s v="P014"/>
    <x v="14"/>
    <x v="0"/>
    <n v="33465.440000000002"/>
    <n v="5"/>
    <n v="0.2"/>
    <n v="133861.76000000001"/>
    <n v="33362.14"/>
  </r>
  <r>
    <s v="O0571"/>
    <x v="285"/>
    <x v="6"/>
    <s v="C076"/>
    <x v="91"/>
    <s v="Chennai"/>
    <x v="0"/>
    <d v="2023-04-19T00:00:00"/>
    <s v="P008"/>
    <x v="9"/>
    <x v="2"/>
    <n v="31573.59"/>
    <n v="2"/>
    <n v="0.15"/>
    <n v="53675.1"/>
    <n v="14836.97"/>
  </r>
  <r>
    <s v="O0572"/>
    <x v="174"/>
    <x v="7"/>
    <s v="C079"/>
    <x v="66"/>
    <s v="Kolkata"/>
    <x v="2"/>
    <d v="2023-06-06T00:00:00"/>
    <s v="P002"/>
    <x v="1"/>
    <x v="1"/>
    <n v="11273.63"/>
    <n v="5"/>
    <n v="0.05"/>
    <n v="53549.74"/>
    <n v="11162.55"/>
  </r>
  <r>
    <s v="O0573"/>
    <x v="392"/>
    <x v="5"/>
    <s v="C026"/>
    <x v="37"/>
    <s v="Chennai"/>
    <x v="0"/>
    <d v="2023-10-28T00:00:00"/>
    <s v="P007"/>
    <x v="4"/>
    <x v="2"/>
    <n v="3596.1"/>
    <n v="1"/>
    <n v="0.1"/>
    <n v="3236.49"/>
    <n v="270.77"/>
  </r>
  <r>
    <s v="O0574"/>
    <x v="307"/>
    <x v="11"/>
    <s v="C030"/>
    <x v="75"/>
    <s v="Kolkata"/>
    <x v="2"/>
    <d v="2023-10-24T00:00:00"/>
    <s v="P006"/>
    <x v="5"/>
    <x v="2"/>
    <n v="11049.86"/>
    <n v="5"/>
    <n v="0"/>
    <n v="55249.3"/>
    <n v="12254.87"/>
  </r>
  <r>
    <s v="O0575"/>
    <x v="175"/>
    <x v="6"/>
    <s v="C096"/>
    <x v="81"/>
    <s v="Chennai"/>
    <x v="0"/>
    <d v="2024-12-07T00:00:00"/>
    <s v="P011"/>
    <x v="11"/>
    <x v="0"/>
    <n v="42988.79"/>
    <n v="2"/>
    <n v="0"/>
    <n v="85977.58"/>
    <n v="26338.87"/>
  </r>
  <r>
    <s v="O0576"/>
    <x v="393"/>
    <x v="0"/>
    <s v="C063"/>
    <x v="21"/>
    <s v="Noida"/>
    <x v="3"/>
    <d v="2024-09-02T00:00:00"/>
    <s v="P014"/>
    <x v="14"/>
    <x v="0"/>
    <n v="33465.440000000002"/>
    <n v="1"/>
    <n v="0.15"/>
    <n v="28445.62"/>
    <n v="3175.11"/>
  </r>
  <r>
    <s v="O0577"/>
    <x v="83"/>
    <x v="1"/>
    <s v="C028"/>
    <x v="23"/>
    <s v="Jaipur"/>
    <x v="3"/>
    <d v="2023-07-16T00:00:00"/>
    <s v="P007"/>
    <x v="4"/>
    <x v="2"/>
    <n v="3596.1"/>
    <n v="4"/>
    <n v="0"/>
    <n v="14384.4"/>
    <n v="4598.22"/>
  </r>
  <r>
    <s v="O0578"/>
    <x v="394"/>
    <x v="6"/>
    <s v="C068"/>
    <x v="44"/>
    <s v="Delhi"/>
    <x v="3"/>
    <d v="2024-11-27T00:00:00"/>
    <s v="P013"/>
    <x v="3"/>
    <x v="0"/>
    <n v="11938.33"/>
    <n v="1"/>
    <n v="0.05"/>
    <n v="11341.41"/>
    <n v="1016"/>
  </r>
  <r>
    <s v="O0579"/>
    <x v="173"/>
    <x v="1"/>
    <s v="C054"/>
    <x v="5"/>
    <s v="Chennai"/>
    <x v="0"/>
    <d v="2023-09-27T00:00:00"/>
    <s v="P001"/>
    <x v="2"/>
    <x v="1"/>
    <n v="6094.16"/>
    <n v="4"/>
    <n v="0.1"/>
    <n v="21938.98"/>
    <n v="1476.95"/>
  </r>
  <r>
    <s v="O0580"/>
    <x v="395"/>
    <x v="10"/>
    <s v="C082"/>
    <x v="64"/>
    <s v="Delhi"/>
    <x v="3"/>
    <d v="2024-09-05T00:00:00"/>
    <s v="P009"/>
    <x v="12"/>
    <x v="2"/>
    <n v="11485.64"/>
    <n v="3"/>
    <n v="0.15"/>
    <n v="29288.38"/>
    <n v="1655.71"/>
  </r>
  <r>
    <s v="O0581"/>
    <x v="27"/>
    <x v="6"/>
    <s v="C083"/>
    <x v="95"/>
    <s v="Pune"/>
    <x v="1"/>
    <d v="2024-05-15T00:00:00"/>
    <s v="P002"/>
    <x v="1"/>
    <x v="1"/>
    <n v="11273.63"/>
    <n v="1"/>
    <n v="0.15"/>
    <n v="9582.59"/>
    <n v="1105.55"/>
  </r>
  <r>
    <s v="O0582"/>
    <x v="396"/>
    <x v="6"/>
    <s v="C085"/>
    <x v="2"/>
    <s v="Pune"/>
    <x v="1"/>
    <d v="2023-11-11T00:00:00"/>
    <s v="P004"/>
    <x v="8"/>
    <x v="1"/>
    <n v="29436.02"/>
    <n v="1"/>
    <n v="0.05"/>
    <n v="27964.22"/>
    <n v="4288.5600000000004"/>
  </r>
  <r>
    <s v="O0583"/>
    <x v="20"/>
    <x v="6"/>
    <s v="C084"/>
    <x v="57"/>
    <s v="Delhi"/>
    <x v="3"/>
    <d v="2023-04-25T00:00:00"/>
    <s v="P009"/>
    <x v="12"/>
    <x v="2"/>
    <n v="11485.64"/>
    <n v="5"/>
    <n v="0"/>
    <n v="57428.2"/>
    <n v="18972.830000000002"/>
  </r>
  <r>
    <s v="O0584"/>
    <x v="323"/>
    <x v="5"/>
    <s v="C085"/>
    <x v="2"/>
    <s v="Pune"/>
    <x v="1"/>
    <d v="2023-11-11T00:00:00"/>
    <s v="P011"/>
    <x v="11"/>
    <x v="0"/>
    <n v="42988.79"/>
    <n v="4"/>
    <n v="0"/>
    <n v="171955.16"/>
    <n v="23407.78"/>
  </r>
  <r>
    <s v="O0585"/>
    <x v="4"/>
    <x v="3"/>
    <s v="C092"/>
    <x v="22"/>
    <s v="Gurugram"/>
    <x v="3"/>
    <d v="2024-07-16T00:00:00"/>
    <s v="P011"/>
    <x v="11"/>
    <x v="0"/>
    <n v="42988.79"/>
    <n v="2"/>
    <n v="0.2"/>
    <n v="68782.06"/>
    <n v="16676.73"/>
  </r>
  <r>
    <s v="O0586"/>
    <x v="296"/>
    <x v="7"/>
    <s v="C036"/>
    <x v="12"/>
    <s v="Kolkata"/>
    <x v="2"/>
    <d v="2024-11-17T00:00:00"/>
    <s v="P003"/>
    <x v="10"/>
    <x v="1"/>
    <n v="16937.37"/>
    <n v="4"/>
    <n v="0"/>
    <n v="67749.48"/>
    <n v="23567.13"/>
  </r>
  <r>
    <s v="O0587"/>
    <x v="397"/>
    <x v="7"/>
    <s v="C027"/>
    <x v="49"/>
    <s v="Jaipur"/>
    <x v="3"/>
    <d v="2024-01-06T00:00:00"/>
    <s v="P009"/>
    <x v="12"/>
    <x v="2"/>
    <n v="11485.64"/>
    <n v="4"/>
    <n v="0.2"/>
    <n v="36754.050000000003"/>
    <n v="11950.01"/>
  </r>
  <r>
    <s v="O0588"/>
    <x v="116"/>
    <x v="2"/>
    <s v="C054"/>
    <x v="5"/>
    <s v="Chennai"/>
    <x v="0"/>
    <d v="2023-09-27T00:00:00"/>
    <s v="P014"/>
    <x v="14"/>
    <x v="0"/>
    <n v="33465.440000000002"/>
    <n v="4"/>
    <n v="0"/>
    <n v="133861.76000000001"/>
    <n v="34110.53"/>
  </r>
  <r>
    <s v="O0589"/>
    <x v="398"/>
    <x v="4"/>
    <s v="C020"/>
    <x v="33"/>
    <s v="Noida"/>
    <x v="3"/>
    <d v="2023-04-10T00:00:00"/>
    <s v="P003"/>
    <x v="10"/>
    <x v="1"/>
    <n v="16937.37"/>
    <n v="5"/>
    <n v="0"/>
    <n v="84686.85"/>
    <n v="20838.07"/>
  </r>
  <r>
    <s v="O0590"/>
    <x v="399"/>
    <x v="9"/>
    <s v="C020"/>
    <x v="33"/>
    <s v="Noida"/>
    <x v="3"/>
    <d v="2023-04-10T00:00:00"/>
    <s v="P015"/>
    <x v="6"/>
    <x v="0"/>
    <n v="10751.13"/>
    <n v="1"/>
    <n v="0"/>
    <n v="10751.13"/>
    <n v="3739.82"/>
  </r>
  <r>
    <s v="O0591"/>
    <x v="400"/>
    <x v="0"/>
    <s v="C009"/>
    <x v="30"/>
    <s v="Kolkata"/>
    <x v="2"/>
    <d v="2024-06-01T00:00:00"/>
    <s v="P007"/>
    <x v="4"/>
    <x v="2"/>
    <n v="3596.1"/>
    <n v="5"/>
    <n v="0"/>
    <n v="17980.5"/>
    <n v="4825.2"/>
  </r>
  <r>
    <s v="O0592"/>
    <x v="401"/>
    <x v="2"/>
    <s v="C020"/>
    <x v="33"/>
    <s v="Noida"/>
    <x v="3"/>
    <d v="2023-04-10T00:00:00"/>
    <s v="P015"/>
    <x v="6"/>
    <x v="0"/>
    <n v="10751.13"/>
    <n v="1"/>
    <n v="0.2"/>
    <n v="8600.9"/>
    <n v="488.71"/>
  </r>
  <r>
    <s v="O0593"/>
    <x v="254"/>
    <x v="6"/>
    <s v="C053"/>
    <x v="89"/>
    <s v="Kolkata"/>
    <x v="2"/>
    <d v="2024-07-28T00:00:00"/>
    <s v="P015"/>
    <x v="6"/>
    <x v="0"/>
    <n v="10751.13"/>
    <n v="4"/>
    <n v="0.15"/>
    <n v="36553.839999999997"/>
    <n v="9713.39"/>
  </r>
  <r>
    <s v="O0594"/>
    <x v="107"/>
    <x v="10"/>
    <s v="C030"/>
    <x v="75"/>
    <s v="Kolkata"/>
    <x v="2"/>
    <d v="2023-10-24T00:00:00"/>
    <s v="P006"/>
    <x v="5"/>
    <x v="2"/>
    <n v="11049.86"/>
    <n v="5"/>
    <n v="0.05"/>
    <n v="52486.84"/>
    <n v="15589.02"/>
  </r>
  <r>
    <s v="O0595"/>
    <x v="402"/>
    <x v="5"/>
    <s v="C045"/>
    <x v="42"/>
    <s v="Kolkata"/>
    <x v="2"/>
    <d v="2023-02-02T00:00:00"/>
    <s v="P002"/>
    <x v="1"/>
    <x v="1"/>
    <n v="11273.63"/>
    <n v="4"/>
    <n v="0"/>
    <n v="45094.52"/>
    <n v="4353.26"/>
  </r>
  <r>
    <s v="O0596"/>
    <x v="95"/>
    <x v="6"/>
    <s v="C038"/>
    <x v="58"/>
    <s v="Mumbai"/>
    <x v="1"/>
    <d v="2024-09-15T00:00:00"/>
    <s v="P011"/>
    <x v="11"/>
    <x v="0"/>
    <n v="42988.79"/>
    <n v="1"/>
    <n v="0"/>
    <n v="42988.79"/>
    <n v="12588.99"/>
  </r>
  <r>
    <s v="O0597"/>
    <x v="403"/>
    <x v="7"/>
    <s v="C004"/>
    <x v="17"/>
    <s v="Mumbai"/>
    <x v="1"/>
    <d v="2024-11-23T00:00:00"/>
    <s v="P002"/>
    <x v="1"/>
    <x v="1"/>
    <n v="11273.63"/>
    <n v="5"/>
    <n v="0.2"/>
    <n v="45094.52"/>
    <n v="14920.49"/>
  </r>
  <r>
    <s v="O0598"/>
    <x v="404"/>
    <x v="0"/>
    <s v="C013"/>
    <x v="71"/>
    <s v="Kolkata"/>
    <x v="2"/>
    <d v="2024-04-04T00:00:00"/>
    <s v="P015"/>
    <x v="6"/>
    <x v="0"/>
    <n v="10751.13"/>
    <n v="2"/>
    <n v="0"/>
    <n v="21502.26"/>
    <n v="1509.18"/>
  </r>
  <r>
    <s v="O0599"/>
    <x v="261"/>
    <x v="4"/>
    <s v="C059"/>
    <x v="14"/>
    <s v="Gurugram"/>
    <x v="3"/>
    <d v="2023-04-04T00:00:00"/>
    <s v="P010"/>
    <x v="7"/>
    <x v="2"/>
    <n v="45275.73"/>
    <n v="1"/>
    <n v="0.05"/>
    <n v="43011.94"/>
    <n v="9864.16"/>
  </r>
  <r>
    <s v="O0600"/>
    <x v="405"/>
    <x v="9"/>
    <s v="C082"/>
    <x v="64"/>
    <s v="Delhi"/>
    <x v="3"/>
    <d v="2024-09-05T00:00:00"/>
    <s v="P012"/>
    <x v="0"/>
    <x v="0"/>
    <n v="3589.32"/>
    <n v="1"/>
    <n v="0"/>
    <n v="3589.32"/>
    <n v="976.88"/>
  </r>
  <r>
    <s v="O0601"/>
    <x v="198"/>
    <x v="9"/>
    <s v="C015"/>
    <x v="35"/>
    <s v="Delhi"/>
    <x v="3"/>
    <d v="2023-06-13T00:00:00"/>
    <s v="P015"/>
    <x v="6"/>
    <x v="0"/>
    <n v="10751.13"/>
    <n v="4"/>
    <n v="0"/>
    <n v="43004.52"/>
    <n v="9113.86"/>
  </r>
  <r>
    <s v="O0602"/>
    <x v="406"/>
    <x v="0"/>
    <s v="C027"/>
    <x v="49"/>
    <s v="Jaipur"/>
    <x v="3"/>
    <d v="2024-01-06T00:00:00"/>
    <s v="P013"/>
    <x v="3"/>
    <x v="0"/>
    <n v="11938.33"/>
    <n v="2"/>
    <n v="0.1"/>
    <n v="21488.99"/>
    <n v="7479.14"/>
  </r>
  <r>
    <s v="O0603"/>
    <x v="164"/>
    <x v="2"/>
    <s v="C038"/>
    <x v="58"/>
    <s v="Mumbai"/>
    <x v="1"/>
    <d v="2024-09-15T00:00:00"/>
    <s v="P005"/>
    <x v="13"/>
    <x v="1"/>
    <n v="11544.23"/>
    <n v="5"/>
    <n v="0"/>
    <n v="57721.15"/>
    <n v="12885.81"/>
  </r>
  <r>
    <s v="O0604"/>
    <x v="407"/>
    <x v="8"/>
    <s v="C026"/>
    <x v="37"/>
    <s v="Chennai"/>
    <x v="0"/>
    <d v="2023-10-28T00:00:00"/>
    <s v="P014"/>
    <x v="14"/>
    <x v="0"/>
    <n v="33465.440000000002"/>
    <n v="3"/>
    <n v="0"/>
    <n v="100396.32"/>
    <n v="14108.63"/>
  </r>
  <r>
    <s v="O0605"/>
    <x v="272"/>
    <x v="3"/>
    <s v="C011"/>
    <x v="39"/>
    <s v="Chennai"/>
    <x v="0"/>
    <d v="2023-07-23T00:00:00"/>
    <s v="P014"/>
    <x v="14"/>
    <x v="0"/>
    <n v="33465.440000000002"/>
    <n v="5"/>
    <n v="0"/>
    <n v="167327.20000000001"/>
    <n v="29126.32"/>
  </r>
  <r>
    <s v="O0606"/>
    <x v="165"/>
    <x v="11"/>
    <s v="C095"/>
    <x v="97"/>
    <s v="Noida"/>
    <x v="3"/>
    <d v="2023-08-05T00:00:00"/>
    <s v="P013"/>
    <x v="3"/>
    <x v="0"/>
    <n v="11938.33"/>
    <n v="1"/>
    <n v="0.1"/>
    <n v="10744.5"/>
    <n v="3594.64"/>
  </r>
  <r>
    <s v="O0607"/>
    <x v="408"/>
    <x v="4"/>
    <s v="C082"/>
    <x v="64"/>
    <s v="Delhi"/>
    <x v="3"/>
    <d v="2024-09-05T00:00:00"/>
    <s v="P012"/>
    <x v="0"/>
    <x v="0"/>
    <n v="3589.32"/>
    <n v="4"/>
    <n v="0.1"/>
    <n v="12921.55"/>
    <n v="2567.33"/>
  </r>
  <r>
    <s v="O0608"/>
    <x v="75"/>
    <x v="4"/>
    <s v="C010"/>
    <x v="40"/>
    <s v="Jaipur"/>
    <x v="3"/>
    <d v="2023-01-28T00:00:00"/>
    <s v="P002"/>
    <x v="1"/>
    <x v="1"/>
    <n v="11273.63"/>
    <n v="4"/>
    <n v="0.2"/>
    <n v="36075.620000000003"/>
    <n v="7479.88"/>
  </r>
  <r>
    <s v="O0609"/>
    <x v="251"/>
    <x v="7"/>
    <s v="C020"/>
    <x v="33"/>
    <s v="Noida"/>
    <x v="3"/>
    <d v="2023-04-10T00:00:00"/>
    <s v="P006"/>
    <x v="5"/>
    <x v="2"/>
    <n v="11049.86"/>
    <n v="4"/>
    <n v="0.05"/>
    <n v="41989.47"/>
    <n v="3979.14"/>
  </r>
  <r>
    <s v="O0610"/>
    <x v="311"/>
    <x v="10"/>
    <s v="C090"/>
    <x v="27"/>
    <s v="Chennai"/>
    <x v="0"/>
    <d v="2023-05-09T00:00:00"/>
    <s v="P006"/>
    <x v="5"/>
    <x v="2"/>
    <n v="11049.86"/>
    <n v="2"/>
    <n v="0.2"/>
    <n v="17679.78"/>
    <n v="3737.13"/>
  </r>
  <r>
    <s v="O0611"/>
    <x v="349"/>
    <x v="8"/>
    <s v="C055"/>
    <x v="38"/>
    <s v="Jaipur"/>
    <x v="3"/>
    <d v="2024-03-14T00:00:00"/>
    <s v="P009"/>
    <x v="12"/>
    <x v="2"/>
    <n v="11485.64"/>
    <n v="2"/>
    <n v="0"/>
    <n v="22971.279999999999"/>
    <n v="7058.21"/>
  </r>
  <r>
    <s v="O0612"/>
    <x v="147"/>
    <x v="6"/>
    <s v="C064"/>
    <x v="60"/>
    <s v="Mumbai"/>
    <x v="1"/>
    <d v="2024-01-30T00:00:00"/>
    <s v="P010"/>
    <x v="7"/>
    <x v="2"/>
    <n v="45275.73"/>
    <n v="4"/>
    <n v="0"/>
    <n v="181102.92"/>
    <n v="39610.07"/>
  </r>
  <r>
    <s v="O0613"/>
    <x v="377"/>
    <x v="10"/>
    <s v="C080"/>
    <x v="80"/>
    <s v="Pune"/>
    <x v="1"/>
    <d v="2023-06-15T00:00:00"/>
    <s v="P011"/>
    <x v="11"/>
    <x v="0"/>
    <n v="42988.79"/>
    <n v="5"/>
    <n v="0.1"/>
    <n v="193449.56"/>
    <n v="17454.53"/>
  </r>
  <r>
    <s v="O0614"/>
    <x v="265"/>
    <x v="6"/>
    <s v="C007"/>
    <x v="56"/>
    <s v="Delhi"/>
    <x v="3"/>
    <d v="2023-01-31T00:00:00"/>
    <s v="P001"/>
    <x v="2"/>
    <x v="1"/>
    <n v="6094.16"/>
    <n v="3"/>
    <n v="0"/>
    <n v="18282.48"/>
    <n v="2725.53"/>
  </r>
  <r>
    <s v="O0615"/>
    <x v="409"/>
    <x v="5"/>
    <s v="C062"/>
    <x v="50"/>
    <s v="Bengaluru"/>
    <x v="0"/>
    <d v="2024-11-27T00:00:00"/>
    <s v="P007"/>
    <x v="4"/>
    <x v="2"/>
    <n v="3596.1"/>
    <n v="4"/>
    <n v="0.2"/>
    <n v="11507.52"/>
    <n v="1856.43"/>
  </r>
  <r>
    <s v="O0616"/>
    <x v="410"/>
    <x v="2"/>
    <s v="C022"/>
    <x v="59"/>
    <s v="Jaipur"/>
    <x v="3"/>
    <d v="2023-09-28T00:00:00"/>
    <s v="P007"/>
    <x v="4"/>
    <x v="2"/>
    <n v="3596.1"/>
    <n v="2"/>
    <n v="0"/>
    <n v="7192.2"/>
    <n v="938.86"/>
  </r>
  <r>
    <s v="O0617"/>
    <x v="27"/>
    <x v="6"/>
    <s v="C097"/>
    <x v="84"/>
    <s v="Kolkata"/>
    <x v="2"/>
    <d v="2024-12-31T00:00:00"/>
    <s v="P008"/>
    <x v="9"/>
    <x v="2"/>
    <n v="31573.59"/>
    <n v="5"/>
    <n v="0.1"/>
    <n v="142081.16"/>
    <n v="8789.75"/>
  </r>
  <r>
    <s v="O0618"/>
    <x v="411"/>
    <x v="2"/>
    <s v="C099"/>
    <x v="70"/>
    <s v="Pune"/>
    <x v="1"/>
    <d v="2024-03-24T00:00:00"/>
    <s v="P015"/>
    <x v="6"/>
    <x v="0"/>
    <n v="10751.13"/>
    <n v="2"/>
    <n v="0.2"/>
    <n v="17201.810000000001"/>
    <n v="4790.8599999999997"/>
  </r>
  <r>
    <s v="O0619"/>
    <x v="47"/>
    <x v="4"/>
    <s v="C092"/>
    <x v="22"/>
    <s v="Gurugram"/>
    <x v="3"/>
    <d v="2024-07-16T00:00:00"/>
    <s v="P007"/>
    <x v="4"/>
    <x v="2"/>
    <n v="3596.1"/>
    <n v="5"/>
    <n v="0"/>
    <n v="17980.5"/>
    <n v="3484.95"/>
  </r>
  <r>
    <s v="O0620"/>
    <x v="59"/>
    <x v="5"/>
    <s v="C093"/>
    <x v="86"/>
    <s v="Bengaluru"/>
    <x v="0"/>
    <d v="2023-09-29T00:00:00"/>
    <s v="P007"/>
    <x v="4"/>
    <x v="2"/>
    <n v="3596.1"/>
    <n v="3"/>
    <n v="0"/>
    <n v="10788.3"/>
    <n v="1224.93"/>
  </r>
  <r>
    <s v="O0621"/>
    <x v="336"/>
    <x v="8"/>
    <s v="C064"/>
    <x v="60"/>
    <s v="Mumbai"/>
    <x v="1"/>
    <d v="2024-01-30T00:00:00"/>
    <s v="P013"/>
    <x v="3"/>
    <x v="0"/>
    <n v="11938.33"/>
    <n v="1"/>
    <n v="0.15"/>
    <n v="10147.58"/>
    <n v="3550.35"/>
  </r>
  <r>
    <s v="O0622"/>
    <x v="25"/>
    <x v="5"/>
    <s v="C070"/>
    <x v="92"/>
    <s v="Chennai"/>
    <x v="0"/>
    <d v="2023-10-01T00:00:00"/>
    <s v="P002"/>
    <x v="1"/>
    <x v="1"/>
    <n v="11273.63"/>
    <n v="2"/>
    <n v="0.15"/>
    <n v="19165.169999999998"/>
    <n v="4433.3"/>
  </r>
  <r>
    <s v="O0623"/>
    <x v="412"/>
    <x v="3"/>
    <s v="C091"/>
    <x v="16"/>
    <s v="Bengaluru"/>
    <x v="0"/>
    <d v="2024-11-06T00:00:00"/>
    <s v="P002"/>
    <x v="1"/>
    <x v="1"/>
    <n v="11273.63"/>
    <n v="4"/>
    <n v="0"/>
    <n v="45094.52"/>
    <n v="9723.4500000000007"/>
  </r>
  <r>
    <s v="O0624"/>
    <x v="413"/>
    <x v="7"/>
    <s v="C088"/>
    <x v="7"/>
    <s v="Mumbai"/>
    <x v="1"/>
    <d v="2023-03-29T00:00:00"/>
    <s v="P002"/>
    <x v="1"/>
    <x v="1"/>
    <n v="11273.63"/>
    <n v="4"/>
    <n v="0.05"/>
    <n v="42839.79"/>
    <n v="9000.43"/>
  </r>
  <r>
    <s v="O0625"/>
    <x v="201"/>
    <x v="8"/>
    <s v="C094"/>
    <x v="78"/>
    <s v="Chennai"/>
    <x v="0"/>
    <d v="2024-09-13T00:00:00"/>
    <s v="P014"/>
    <x v="14"/>
    <x v="0"/>
    <n v="33465.440000000002"/>
    <n v="3"/>
    <n v="0"/>
    <n v="100396.32"/>
    <n v="15851.91"/>
  </r>
  <r>
    <s v="O0626"/>
    <x v="271"/>
    <x v="1"/>
    <s v="C094"/>
    <x v="78"/>
    <s v="Chennai"/>
    <x v="0"/>
    <d v="2024-09-13T00:00:00"/>
    <s v="P013"/>
    <x v="3"/>
    <x v="0"/>
    <n v="11938.33"/>
    <n v="4"/>
    <n v="0"/>
    <n v="47753.32"/>
    <n v="13888.81"/>
  </r>
  <r>
    <s v="O0627"/>
    <x v="414"/>
    <x v="9"/>
    <s v="C038"/>
    <x v="58"/>
    <s v="Mumbai"/>
    <x v="1"/>
    <d v="2024-09-15T00:00:00"/>
    <s v="P010"/>
    <x v="7"/>
    <x v="2"/>
    <n v="45275.73"/>
    <n v="3"/>
    <n v="0"/>
    <n v="135827.19"/>
    <n v="21896.9"/>
  </r>
  <r>
    <s v="O0628"/>
    <x v="199"/>
    <x v="8"/>
    <s v="C027"/>
    <x v="49"/>
    <s v="Jaipur"/>
    <x v="3"/>
    <d v="2024-01-06T00:00:00"/>
    <s v="P010"/>
    <x v="7"/>
    <x v="2"/>
    <n v="45275.73"/>
    <n v="1"/>
    <n v="0.1"/>
    <n v="40748.160000000003"/>
    <n v="12600.37"/>
  </r>
  <r>
    <s v="O0629"/>
    <x v="415"/>
    <x v="0"/>
    <s v="C037"/>
    <x v="1"/>
    <s v="Hyderabad"/>
    <x v="0"/>
    <d v="2024-12-19T00:00:00"/>
    <s v="P015"/>
    <x v="6"/>
    <x v="0"/>
    <n v="10751.13"/>
    <n v="1"/>
    <n v="0"/>
    <n v="10751.13"/>
    <n v="2322.17"/>
  </r>
  <r>
    <s v="O0630"/>
    <x v="108"/>
    <x v="11"/>
    <s v="C015"/>
    <x v="35"/>
    <s v="Delhi"/>
    <x v="3"/>
    <d v="2023-06-13T00:00:00"/>
    <s v="P001"/>
    <x v="2"/>
    <x v="1"/>
    <n v="6094.16"/>
    <n v="5"/>
    <n v="0.15"/>
    <n v="25900.18"/>
    <n v="4539.6099999999997"/>
  </r>
  <r>
    <s v="O0631"/>
    <x v="22"/>
    <x v="0"/>
    <s v="C032"/>
    <x v="43"/>
    <s v="Mumbai"/>
    <x v="1"/>
    <d v="2024-01-25T00:00:00"/>
    <s v="P010"/>
    <x v="7"/>
    <x v="2"/>
    <n v="45275.73"/>
    <n v="2"/>
    <n v="0"/>
    <n v="90551.46"/>
    <n v="10776.13"/>
  </r>
  <r>
    <s v="O0632"/>
    <x v="289"/>
    <x v="4"/>
    <s v="C090"/>
    <x v="27"/>
    <s v="Chennai"/>
    <x v="0"/>
    <d v="2023-05-09T00:00:00"/>
    <s v="P003"/>
    <x v="10"/>
    <x v="1"/>
    <n v="16937.37"/>
    <n v="2"/>
    <n v="0.05"/>
    <n v="32181"/>
    <n v="6925.12"/>
  </r>
  <r>
    <s v="O0633"/>
    <x v="127"/>
    <x v="8"/>
    <s v="C095"/>
    <x v="97"/>
    <s v="Noida"/>
    <x v="3"/>
    <d v="2023-08-05T00:00:00"/>
    <s v="P012"/>
    <x v="0"/>
    <x v="0"/>
    <n v="3589.32"/>
    <n v="3"/>
    <n v="0"/>
    <n v="10767.96"/>
    <n v="3004.35"/>
  </r>
  <r>
    <s v="O0634"/>
    <x v="94"/>
    <x v="4"/>
    <s v="C069"/>
    <x v="94"/>
    <s v="Mumbai"/>
    <x v="1"/>
    <d v="2024-11-29T00:00:00"/>
    <s v="P009"/>
    <x v="12"/>
    <x v="2"/>
    <n v="11485.64"/>
    <n v="4"/>
    <n v="0.05"/>
    <n v="43645.43"/>
    <n v="4385.0600000000004"/>
  </r>
  <r>
    <s v="O0635"/>
    <x v="127"/>
    <x v="8"/>
    <s v="C008"/>
    <x v="48"/>
    <s v="Mumbai"/>
    <x v="1"/>
    <d v="2023-08-12T00:00:00"/>
    <s v="P008"/>
    <x v="9"/>
    <x v="2"/>
    <n v="31573.59"/>
    <n v="2"/>
    <n v="0"/>
    <n v="63147.18"/>
    <n v="16803.09"/>
  </r>
  <r>
    <s v="O0636"/>
    <x v="416"/>
    <x v="6"/>
    <s v="C057"/>
    <x v="61"/>
    <s v="Pune"/>
    <x v="1"/>
    <d v="2023-08-13T00:00:00"/>
    <s v="P004"/>
    <x v="8"/>
    <x v="1"/>
    <n v="29436.02"/>
    <n v="2"/>
    <n v="0.1"/>
    <n v="52984.84"/>
    <n v="18390.88"/>
  </r>
  <r>
    <s v="O0637"/>
    <x v="417"/>
    <x v="6"/>
    <s v="C033"/>
    <x v="99"/>
    <s v="Hyderabad"/>
    <x v="0"/>
    <d v="2024-04-09T00:00:00"/>
    <s v="P013"/>
    <x v="3"/>
    <x v="0"/>
    <n v="11938.33"/>
    <n v="5"/>
    <n v="0"/>
    <n v="59691.65"/>
    <n v="18010.2"/>
  </r>
  <r>
    <s v="O0638"/>
    <x v="379"/>
    <x v="8"/>
    <s v="C055"/>
    <x v="38"/>
    <s v="Jaipur"/>
    <x v="3"/>
    <d v="2024-03-14T00:00:00"/>
    <s v="P011"/>
    <x v="11"/>
    <x v="0"/>
    <n v="42988.79"/>
    <n v="1"/>
    <n v="0.2"/>
    <n v="34391.03"/>
    <n v="1785.42"/>
  </r>
  <r>
    <s v="O0639"/>
    <x v="203"/>
    <x v="7"/>
    <s v="C002"/>
    <x v="52"/>
    <s v="Hyderabad"/>
    <x v="0"/>
    <d v="2023-09-08T00:00:00"/>
    <s v="P015"/>
    <x v="6"/>
    <x v="0"/>
    <n v="10751.13"/>
    <n v="2"/>
    <n v="0"/>
    <n v="21502.26"/>
    <n v="5636.84"/>
  </r>
  <r>
    <s v="O0640"/>
    <x v="418"/>
    <x v="6"/>
    <s v="C032"/>
    <x v="43"/>
    <s v="Mumbai"/>
    <x v="1"/>
    <d v="2024-01-25T00:00:00"/>
    <s v="P012"/>
    <x v="0"/>
    <x v="0"/>
    <n v="3589.32"/>
    <n v="2"/>
    <n v="0.1"/>
    <n v="6460.78"/>
    <n v="1206.8900000000001"/>
  </r>
  <r>
    <s v="O0641"/>
    <x v="359"/>
    <x v="10"/>
    <s v="C009"/>
    <x v="30"/>
    <s v="Kolkata"/>
    <x v="2"/>
    <d v="2024-06-01T00:00:00"/>
    <s v="P012"/>
    <x v="0"/>
    <x v="0"/>
    <n v="3589.32"/>
    <n v="5"/>
    <n v="0.15"/>
    <n v="15254.61"/>
    <n v="3814.06"/>
  </r>
  <r>
    <s v="O0642"/>
    <x v="419"/>
    <x v="7"/>
    <s v="C095"/>
    <x v="97"/>
    <s v="Noida"/>
    <x v="3"/>
    <d v="2023-08-05T00:00:00"/>
    <s v="P012"/>
    <x v="0"/>
    <x v="0"/>
    <n v="3589.32"/>
    <n v="4"/>
    <n v="0.15"/>
    <n v="12203.69"/>
    <n v="2396.27"/>
  </r>
  <r>
    <s v="O0643"/>
    <x v="420"/>
    <x v="7"/>
    <s v="C035"/>
    <x v="13"/>
    <s v="Pune"/>
    <x v="1"/>
    <d v="2023-12-30T00:00:00"/>
    <s v="P002"/>
    <x v="1"/>
    <x v="1"/>
    <n v="11273.63"/>
    <n v="5"/>
    <n v="0.1"/>
    <n v="50731.34"/>
    <n v="8796.89"/>
  </r>
  <r>
    <s v="O0644"/>
    <x v="67"/>
    <x v="3"/>
    <s v="C029"/>
    <x v="85"/>
    <s v="Mumbai"/>
    <x v="1"/>
    <d v="2023-02-16T00:00:00"/>
    <s v="P014"/>
    <x v="14"/>
    <x v="0"/>
    <n v="33465.440000000002"/>
    <n v="5"/>
    <n v="0.15"/>
    <n v="142228.12"/>
    <n v="18834.16"/>
  </r>
  <r>
    <s v="O0645"/>
    <x v="192"/>
    <x v="2"/>
    <s v="C098"/>
    <x v="51"/>
    <s v="Hyderabad"/>
    <x v="0"/>
    <d v="2024-02-13T00:00:00"/>
    <s v="P003"/>
    <x v="10"/>
    <x v="1"/>
    <n v="16937.37"/>
    <n v="1"/>
    <n v="0.1"/>
    <n v="15243.63"/>
    <n v="4480.82"/>
  </r>
  <r>
    <s v="O0646"/>
    <x v="421"/>
    <x v="5"/>
    <s v="C081"/>
    <x v="98"/>
    <s v="Chennai"/>
    <x v="0"/>
    <d v="2024-06-27T00:00:00"/>
    <s v="P001"/>
    <x v="2"/>
    <x v="1"/>
    <n v="6094.16"/>
    <n v="4"/>
    <n v="0.2"/>
    <n v="19501.310000000001"/>
    <n v="6472.75"/>
  </r>
  <r>
    <s v="O0647"/>
    <x v="311"/>
    <x v="10"/>
    <s v="C004"/>
    <x v="17"/>
    <s v="Mumbai"/>
    <x v="1"/>
    <d v="2024-11-23T00:00:00"/>
    <s v="P002"/>
    <x v="1"/>
    <x v="1"/>
    <n v="11273.63"/>
    <n v="1"/>
    <n v="0"/>
    <n v="11273.63"/>
    <n v="2337.1999999999998"/>
  </r>
  <r>
    <s v="O0648"/>
    <x v="369"/>
    <x v="4"/>
    <s v="C004"/>
    <x v="17"/>
    <s v="Mumbai"/>
    <x v="1"/>
    <d v="2024-11-23T00:00:00"/>
    <s v="P003"/>
    <x v="10"/>
    <x v="1"/>
    <n v="16937.37"/>
    <n v="2"/>
    <n v="0.1"/>
    <n v="30487.27"/>
    <n v="6339.43"/>
  </r>
  <r>
    <s v="O0649"/>
    <x v="314"/>
    <x v="7"/>
    <s v="C071"/>
    <x v="67"/>
    <s v="Pune"/>
    <x v="1"/>
    <d v="2023-04-25T00:00:00"/>
    <s v="P014"/>
    <x v="14"/>
    <x v="0"/>
    <n v="33465.440000000002"/>
    <n v="3"/>
    <n v="0.2"/>
    <n v="80317.06"/>
    <n v="13579.12"/>
  </r>
  <r>
    <s v="O0650"/>
    <x v="75"/>
    <x v="4"/>
    <s v="C060"/>
    <x v="74"/>
    <s v="Delhi"/>
    <x v="3"/>
    <d v="2023-04-23T00:00:00"/>
    <s v="P005"/>
    <x v="13"/>
    <x v="1"/>
    <n v="11544.23"/>
    <n v="4"/>
    <n v="0.05"/>
    <n v="43868.07"/>
    <n v="9629.07"/>
  </r>
  <r>
    <s v="O0651"/>
    <x v="161"/>
    <x v="6"/>
    <s v="C051"/>
    <x v="90"/>
    <s v="Gurugram"/>
    <x v="3"/>
    <d v="2023-05-27T00:00:00"/>
    <s v="P001"/>
    <x v="2"/>
    <x v="1"/>
    <n v="6094.16"/>
    <n v="2"/>
    <n v="0"/>
    <n v="12188.32"/>
    <n v="3110.61"/>
  </r>
  <r>
    <s v="O0652"/>
    <x v="397"/>
    <x v="7"/>
    <s v="C051"/>
    <x v="90"/>
    <s v="Gurugram"/>
    <x v="3"/>
    <d v="2023-05-27T00:00:00"/>
    <s v="P007"/>
    <x v="4"/>
    <x v="2"/>
    <n v="3596.1"/>
    <n v="1"/>
    <n v="0"/>
    <n v="3596.1"/>
    <n v="617.03"/>
  </r>
  <r>
    <s v="O0653"/>
    <x v="203"/>
    <x v="7"/>
    <s v="C039"/>
    <x v="32"/>
    <s v="Bengaluru"/>
    <x v="0"/>
    <d v="2024-06-30T00:00:00"/>
    <s v="P015"/>
    <x v="6"/>
    <x v="0"/>
    <n v="10751.13"/>
    <n v="5"/>
    <n v="0.05"/>
    <n v="51067.87"/>
    <n v="3413.09"/>
  </r>
  <r>
    <s v="O0654"/>
    <x v="422"/>
    <x v="6"/>
    <s v="C084"/>
    <x v="57"/>
    <s v="Delhi"/>
    <x v="3"/>
    <d v="2023-04-25T00:00:00"/>
    <s v="P014"/>
    <x v="14"/>
    <x v="0"/>
    <n v="33465.440000000002"/>
    <n v="2"/>
    <n v="0"/>
    <n v="66930.880000000005"/>
    <n v="13383.33"/>
  </r>
  <r>
    <s v="O0655"/>
    <x v="423"/>
    <x v="1"/>
    <s v="C080"/>
    <x v="80"/>
    <s v="Pune"/>
    <x v="1"/>
    <d v="2023-06-15T00:00:00"/>
    <s v="P002"/>
    <x v="1"/>
    <x v="1"/>
    <n v="11273.63"/>
    <n v="3"/>
    <n v="0.1"/>
    <n v="30438.799999999999"/>
    <n v="10446.56"/>
  </r>
  <r>
    <s v="O0656"/>
    <x v="424"/>
    <x v="4"/>
    <s v="C052"/>
    <x v="18"/>
    <s v="Hyderabad"/>
    <x v="0"/>
    <d v="2023-05-23T00:00:00"/>
    <s v="P002"/>
    <x v="1"/>
    <x v="1"/>
    <n v="11273.63"/>
    <n v="5"/>
    <n v="0"/>
    <n v="56368.15"/>
    <n v="6703.86"/>
  </r>
  <r>
    <s v="O0657"/>
    <x v="417"/>
    <x v="6"/>
    <s v="C003"/>
    <x v="26"/>
    <s v="Kolkata"/>
    <x v="2"/>
    <d v="2023-05-23T00:00:00"/>
    <s v="P007"/>
    <x v="4"/>
    <x v="2"/>
    <n v="3596.1"/>
    <n v="5"/>
    <n v="0.05"/>
    <n v="17081.47"/>
    <n v="2243.2800000000002"/>
  </r>
  <r>
    <s v="O0658"/>
    <x v="425"/>
    <x v="9"/>
    <s v="C056"/>
    <x v="9"/>
    <s v="Jaipur"/>
    <x v="3"/>
    <d v="2024-02-13T00:00:00"/>
    <s v="P003"/>
    <x v="10"/>
    <x v="1"/>
    <n v="16937.37"/>
    <n v="3"/>
    <n v="0.1"/>
    <n v="45730.9"/>
    <n v="10017.49"/>
  </r>
  <r>
    <s v="O0659"/>
    <x v="367"/>
    <x v="5"/>
    <s v="C040"/>
    <x v="63"/>
    <s v="Kolkata"/>
    <x v="2"/>
    <d v="2023-06-17T00:00:00"/>
    <s v="P002"/>
    <x v="1"/>
    <x v="1"/>
    <n v="11273.63"/>
    <n v="2"/>
    <n v="0.2"/>
    <n v="18037.810000000001"/>
    <n v="2603.6799999999998"/>
  </r>
  <r>
    <s v="O0660"/>
    <x v="426"/>
    <x v="4"/>
    <s v="C022"/>
    <x v="59"/>
    <s v="Jaipur"/>
    <x v="3"/>
    <d v="2023-09-28T00:00:00"/>
    <s v="P003"/>
    <x v="10"/>
    <x v="1"/>
    <n v="16937.37"/>
    <n v="5"/>
    <n v="0"/>
    <n v="84686.85"/>
    <n v="23346.16"/>
  </r>
  <r>
    <s v="O0661"/>
    <x v="427"/>
    <x v="5"/>
    <s v="C006"/>
    <x v="6"/>
    <s v="Jaipur"/>
    <x v="3"/>
    <d v="2024-03-08T00:00:00"/>
    <s v="P006"/>
    <x v="5"/>
    <x v="2"/>
    <n v="11049.86"/>
    <n v="4"/>
    <n v="0"/>
    <n v="44199.44"/>
    <n v="6178.33"/>
  </r>
  <r>
    <s v="O0662"/>
    <x v="428"/>
    <x v="9"/>
    <s v="C004"/>
    <x v="17"/>
    <s v="Mumbai"/>
    <x v="1"/>
    <d v="2024-11-23T00:00:00"/>
    <s v="P008"/>
    <x v="9"/>
    <x v="2"/>
    <n v="31573.59"/>
    <n v="2"/>
    <n v="0.1"/>
    <n v="56832.46"/>
    <n v="17072.2"/>
  </r>
  <r>
    <s v="O0663"/>
    <x v="429"/>
    <x v="8"/>
    <s v="C019"/>
    <x v="83"/>
    <s v="Mumbai"/>
    <x v="1"/>
    <d v="2023-04-05T00:00:00"/>
    <s v="P010"/>
    <x v="7"/>
    <x v="2"/>
    <n v="45275.73"/>
    <n v="5"/>
    <n v="0"/>
    <n v="226378.65"/>
    <n v="37387.31"/>
  </r>
  <r>
    <s v="O0664"/>
    <x v="430"/>
    <x v="4"/>
    <s v="C059"/>
    <x v="14"/>
    <s v="Gurugram"/>
    <x v="3"/>
    <d v="2023-04-04T00:00:00"/>
    <s v="P003"/>
    <x v="10"/>
    <x v="1"/>
    <n v="16937.37"/>
    <n v="1"/>
    <n v="0.1"/>
    <n v="15243.63"/>
    <n v="4171.22"/>
  </r>
  <r>
    <s v="O0665"/>
    <x v="8"/>
    <x v="6"/>
    <s v="C003"/>
    <x v="26"/>
    <s v="Kolkata"/>
    <x v="2"/>
    <d v="2023-05-23T00:00:00"/>
    <s v="P003"/>
    <x v="10"/>
    <x v="1"/>
    <n v="16937.37"/>
    <n v="1"/>
    <n v="0"/>
    <n v="16937.37"/>
    <n v="3067.81"/>
  </r>
  <r>
    <s v="O0666"/>
    <x v="158"/>
    <x v="10"/>
    <s v="C033"/>
    <x v="99"/>
    <s v="Hyderabad"/>
    <x v="0"/>
    <d v="2024-04-09T00:00:00"/>
    <s v="P010"/>
    <x v="7"/>
    <x v="2"/>
    <n v="45275.73"/>
    <n v="3"/>
    <n v="0.1"/>
    <n v="122244.47"/>
    <n v="34314.230000000003"/>
  </r>
  <r>
    <s v="O0667"/>
    <x v="431"/>
    <x v="3"/>
    <s v="C030"/>
    <x v="75"/>
    <s v="Kolkata"/>
    <x v="2"/>
    <d v="2023-10-24T00:00:00"/>
    <s v="P010"/>
    <x v="7"/>
    <x v="2"/>
    <n v="45275.73"/>
    <n v="4"/>
    <n v="0.2"/>
    <n v="144882.34"/>
    <n v="21429.98"/>
  </r>
  <r>
    <s v="O0668"/>
    <x v="140"/>
    <x v="8"/>
    <s v="C053"/>
    <x v="89"/>
    <s v="Kolkata"/>
    <x v="2"/>
    <d v="2024-07-28T00:00:00"/>
    <s v="P014"/>
    <x v="14"/>
    <x v="0"/>
    <n v="33465.440000000002"/>
    <n v="3"/>
    <n v="0.2"/>
    <n v="80317.06"/>
    <n v="27932.33"/>
  </r>
  <r>
    <s v="O0669"/>
    <x v="112"/>
    <x v="7"/>
    <s v="C097"/>
    <x v="84"/>
    <s v="Kolkata"/>
    <x v="2"/>
    <d v="2024-12-31T00:00:00"/>
    <s v="P013"/>
    <x v="3"/>
    <x v="0"/>
    <n v="11938.33"/>
    <n v="2"/>
    <n v="0"/>
    <n v="23876.66"/>
    <n v="5155.24"/>
  </r>
  <r>
    <s v="O0670"/>
    <x v="432"/>
    <x v="2"/>
    <s v="C044"/>
    <x v="15"/>
    <s v="Pune"/>
    <x v="1"/>
    <d v="2023-02-27T00:00:00"/>
    <s v="P002"/>
    <x v="1"/>
    <x v="1"/>
    <n v="11273.63"/>
    <n v="4"/>
    <n v="0"/>
    <n v="45094.52"/>
    <n v="11449.88"/>
  </r>
  <r>
    <s v="O0671"/>
    <x v="206"/>
    <x v="3"/>
    <s v="C035"/>
    <x v="13"/>
    <s v="Pune"/>
    <x v="1"/>
    <d v="2023-12-30T00:00:00"/>
    <s v="P002"/>
    <x v="1"/>
    <x v="1"/>
    <n v="11273.63"/>
    <n v="4"/>
    <n v="0"/>
    <n v="45094.52"/>
    <n v="12700.88"/>
  </r>
  <r>
    <s v="O0672"/>
    <x v="433"/>
    <x v="3"/>
    <s v="C013"/>
    <x v="71"/>
    <s v="Kolkata"/>
    <x v="2"/>
    <d v="2024-04-04T00:00:00"/>
    <s v="P008"/>
    <x v="9"/>
    <x v="2"/>
    <n v="31573.59"/>
    <n v="2"/>
    <n v="0.15"/>
    <n v="53675.1"/>
    <n v="3867.4"/>
  </r>
  <r>
    <s v="O0673"/>
    <x v="431"/>
    <x v="3"/>
    <s v="C067"/>
    <x v="47"/>
    <s v="Hyderabad"/>
    <x v="0"/>
    <d v="2024-07-20T00:00:00"/>
    <s v="P002"/>
    <x v="1"/>
    <x v="1"/>
    <n v="11273.63"/>
    <n v="2"/>
    <n v="0.05"/>
    <n v="21419.9"/>
    <n v="5644.21"/>
  </r>
  <r>
    <s v="O0674"/>
    <x v="434"/>
    <x v="7"/>
    <s v="C019"/>
    <x v="83"/>
    <s v="Mumbai"/>
    <x v="1"/>
    <d v="2023-04-05T00:00:00"/>
    <s v="P014"/>
    <x v="14"/>
    <x v="0"/>
    <n v="33465.440000000002"/>
    <n v="2"/>
    <n v="0.15"/>
    <n v="56891.25"/>
    <n v="9494.39"/>
  </r>
  <r>
    <s v="O0675"/>
    <x v="257"/>
    <x v="2"/>
    <s v="C035"/>
    <x v="13"/>
    <s v="Pune"/>
    <x v="1"/>
    <d v="2023-12-30T00:00:00"/>
    <s v="P005"/>
    <x v="13"/>
    <x v="1"/>
    <n v="11544.23"/>
    <n v="1"/>
    <n v="0"/>
    <n v="11544.23"/>
    <n v="595.20000000000005"/>
  </r>
  <r>
    <s v="O0676"/>
    <x v="435"/>
    <x v="1"/>
    <s v="C069"/>
    <x v="94"/>
    <s v="Mumbai"/>
    <x v="1"/>
    <d v="2024-11-29T00:00:00"/>
    <s v="P014"/>
    <x v="14"/>
    <x v="0"/>
    <n v="33465.440000000002"/>
    <n v="4"/>
    <n v="0"/>
    <n v="133861.76000000001"/>
    <n v="37267.64"/>
  </r>
  <r>
    <s v="O0677"/>
    <x v="234"/>
    <x v="1"/>
    <s v="C054"/>
    <x v="5"/>
    <s v="Chennai"/>
    <x v="0"/>
    <d v="2023-09-27T00:00:00"/>
    <s v="P015"/>
    <x v="6"/>
    <x v="0"/>
    <n v="10751.13"/>
    <n v="2"/>
    <n v="0"/>
    <n v="21502.26"/>
    <n v="2283.92"/>
  </r>
  <r>
    <s v="O0678"/>
    <x v="436"/>
    <x v="1"/>
    <s v="C097"/>
    <x v="84"/>
    <s v="Kolkata"/>
    <x v="2"/>
    <d v="2024-12-31T00:00:00"/>
    <s v="P004"/>
    <x v="8"/>
    <x v="1"/>
    <n v="29436.02"/>
    <n v="5"/>
    <n v="0.1"/>
    <n v="132462.09"/>
    <n v="26986.799999999999"/>
  </r>
  <r>
    <s v="O0679"/>
    <x v="129"/>
    <x v="1"/>
    <s v="C045"/>
    <x v="42"/>
    <s v="Kolkata"/>
    <x v="2"/>
    <d v="2023-02-02T00:00:00"/>
    <s v="P011"/>
    <x v="11"/>
    <x v="0"/>
    <n v="42988.79"/>
    <n v="1"/>
    <n v="0"/>
    <n v="42988.79"/>
    <n v="6713.74"/>
  </r>
  <r>
    <s v="O0680"/>
    <x v="437"/>
    <x v="7"/>
    <s v="C097"/>
    <x v="84"/>
    <s v="Kolkata"/>
    <x v="2"/>
    <d v="2024-12-31T00:00:00"/>
    <s v="P009"/>
    <x v="12"/>
    <x v="2"/>
    <n v="11485.64"/>
    <n v="5"/>
    <n v="0.1"/>
    <n v="51685.38"/>
    <n v="14747.47"/>
  </r>
  <r>
    <s v="O0681"/>
    <x v="287"/>
    <x v="6"/>
    <s v="C037"/>
    <x v="1"/>
    <s v="Hyderabad"/>
    <x v="0"/>
    <d v="2024-12-19T00:00:00"/>
    <s v="P011"/>
    <x v="11"/>
    <x v="0"/>
    <n v="42988.79"/>
    <n v="1"/>
    <n v="0"/>
    <n v="42988.79"/>
    <n v="7486.2"/>
  </r>
  <r>
    <s v="O0682"/>
    <x v="70"/>
    <x v="11"/>
    <s v="C033"/>
    <x v="99"/>
    <s v="Hyderabad"/>
    <x v="0"/>
    <d v="2024-04-09T00:00:00"/>
    <s v="P001"/>
    <x v="2"/>
    <x v="1"/>
    <n v="6094.16"/>
    <n v="5"/>
    <n v="0"/>
    <n v="30470.799999999999"/>
    <n v="6751.97"/>
  </r>
  <r>
    <s v="O0683"/>
    <x v="114"/>
    <x v="2"/>
    <s v="C048"/>
    <x v="88"/>
    <s v="Kolkata"/>
    <x v="2"/>
    <d v="2024-08-03T00:00:00"/>
    <s v="P011"/>
    <x v="11"/>
    <x v="0"/>
    <n v="42988.79"/>
    <n v="4"/>
    <n v="0"/>
    <n v="171955.16"/>
    <n v="15760.04"/>
  </r>
  <r>
    <s v="O0684"/>
    <x v="438"/>
    <x v="11"/>
    <s v="C008"/>
    <x v="48"/>
    <s v="Mumbai"/>
    <x v="1"/>
    <d v="2023-08-12T00:00:00"/>
    <s v="P015"/>
    <x v="6"/>
    <x v="0"/>
    <n v="10751.13"/>
    <n v="3"/>
    <n v="0.05"/>
    <n v="30640.720000000001"/>
    <n v="2873.5"/>
  </r>
  <r>
    <s v="O0685"/>
    <x v="134"/>
    <x v="8"/>
    <s v="C080"/>
    <x v="80"/>
    <s v="Pune"/>
    <x v="1"/>
    <d v="2023-06-15T00:00:00"/>
    <s v="P012"/>
    <x v="0"/>
    <x v="0"/>
    <n v="3589.32"/>
    <n v="4"/>
    <n v="0"/>
    <n v="14357.28"/>
    <n v="2531.63"/>
  </r>
  <r>
    <s v="O0686"/>
    <x v="370"/>
    <x v="10"/>
    <s v="C039"/>
    <x v="32"/>
    <s v="Bengaluru"/>
    <x v="0"/>
    <d v="2024-06-30T00:00:00"/>
    <s v="P004"/>
    <x v="8"/>
    <x v="1"/>
    <n v="29436.02"/>
    <n v="1"/>
    <n v="0"/>
    <n v="29436.02"/>
    <n v="3694.51"/>
  </r>
  <r>
    <s v="O0687"/>
    <x v="316"/>
    <x v="1"/>
    <s v="C081"/>
    <x v="98"/>
    <s v="Chennai"/>
    <x v="0"/>
    <d v="2024-06-27T00:00:00"/>
    <s v="P003"/>
    <x v="10"/>
    <x v="1"/>
    <n v="16937.37"/>
    <n v="4"/>
    <n v="0.1"/>
    <n v="60974.53"/>
    <n v="14329.05"/>
  </r>
  <r>
    <s v="O0688"/>
    <x v="439"/>
    <x v="9"/>
    <s v="C014"/>
    <x v="62"/>
    <s v="Jaipur"/>
    <x v="3"/>
    <d v="2023-10-12T00:00:00"/>
    <s v="P001"/>
    <x v="2"/>
    <x v="1"/>
    <n v="6094.16"/>
    <n v="1"/>
    <n v="0"/>
    <n v="6094.16"/>
    <n v="861.7"/>
  </r>
  <r>
    <s v="O0689"/>
    <x v="387"/>
    <x v="4"/>
    <s v="C058"/>
    <x v="28"/>
    <s v="Bengaluru"/>
    <x v="0"/>
    <d v="2024-06-05T00:00:00"/>
    <s v="P015"/>
    <x v="6"/>
    <x v="0"/>
    <n v="10751.13"/>
    <n v="3"/>
    <n v="0.2"/>
    <n v="25802.71"/>
    <n v="6090.93"/>
  </r>
  <r>
    <s v="O0690"/>
    <x v="440"/>
    <x v="3"/>
    <s v="C023"/>
    <x v="79"/>
    <s v="Delhi"/>
    <x v="3"/>
    <d v="2024-04-15T00:00:00"/>
    <s v="P004"/>
    <x v="8"/>
    <x v="1"/>
    <n v="29436.02"/>
    <n v="4"/>
    <n v="0"/>
    <n v="117744.08"/>
    <n v="21097.96"/>
  </r>
  <r>
    <s v="O0691"/>
    <x v="96"/>
    <x v="10"/>
    <s v="C075"/>
    <x v="96"/>
    <s v="Chennai"/>
    <x v="0"/>
    <d v="2023-07-02T00:00:00"/>
    <s v="P002"/>
    <x v="1"/>
    <x v="1"/>
    <n v="11273.63"/>
    <n v="5"/>
    <n v="0"/>
    <n v="56368.15"/>
    <n v="7898.9"/>
  </r>
  <r>
    <s v="O0692"/>
    <x v="327"/>
    <x v="9"/>
    <s v="C044"/>
    <x v="15"/>
    <s v="Pune"/>
    <x v="1"/>
    <d v="2023-02-27T00:00:00"/>
    <s v="P013"/>
    <x v="3"/>
    <x v="0"/>
    <n v="11938.33"/>
    <n v="2"/>
    <n v="0.05"/>
    <n v="22682.83"/>
    <n v="3272.11"/>
  </r>
  <r>
    <s v="O0693"/>
    <x v="71"/>
    <x v="3"/>
    <s v="C074"/>
    <x v="20"/>
    <s v="Delhi"/>
    <x v="3"/>
    <d v="2023-09-27T00:00:00"/>
    <s v="P006"/>
    <x v="5"/>
    <x v="2"/>
    <n v="11049.86"/>
    <n v="3"/>
    <n v="0"/>
    <n v="33149.58"/>
    <n v="8965.7099999999991"/>
  </r>
  <r>
    <s v="O0694"/>
    <x v="441"/>
    <x v="2"/>
    <s v="C026"/>
    <x v="37"/>
    <s v="Chennai"/>
    <x v="0"/>
    <d v="2023-10-28T00:00:00"/>
    <s v="P007"/>
    <x v="4"/>
    <x v="2"/>
    <n v="3596.1"/>
    <n v="4"/>
    <n v="0.1"/>
    <n v="12945.96"/>
    <n v="3684.32"/>
  </r>
  <r>
    <s v="O0695"/>
    <x v="399"/>
    <x v="9"/>
    <s v="C058"/>
    <x v="28"/>
    <s v="Bengaluru"/>
    <x v="0"/>
    <d v="2024-06-05T00:00:00"/>
    <s v="P013"/>
    <x v="3"/>
    <x v="0"/>
    <n v="11938.33"/>
    <n v="4"/>
    <n v="0"/>
    <n v="47753.32"/>
    <n v="14084.76"/>
  </r>
  <r>
    <s v="O0696"/>
    <x v="317"/>
    <x v="5"/>
    <s v="C045"/>
    <x v="42"/>
    <s v="Kolkata"/>
    <x v="2"/>
    <d v="2023-02-02T00:00:00"/>
    <s v="P007"/>
    <x v="4"/>
    <x v="2"/>
    <n v="3596.1"/>
    <n v="3"/>
    <n v="0"/>
    <n v="10788.3"/>
    <n v="3556.04"/>
  </r>
  <r>
    <s v="O0697"/>
    <x v="9"/>
    <x v="5"/>
    <s v="C070"/>
    <x v="92"/>
    <s v="Chennai"/>
    <x v="0"/>
    <d v="2023-10-01T00:00:00"/>
    <s v="P001"/>
    <x v="2"/>
    <x v="1"/>
    <n v="6094.16"/>
    <n v="5"/>
    <n v="0.1"/>
    <n v="27423.72"/>
    <n v="2851.47"/>
  </r>
  <r>
    <s v="O0698"/>
    <x v="442"/>
    <x v="4"/>
    <s v="C003"/>
    <x v="26"/>
    <s v="Kolkata"/>
    <x v="2"/>
    <d v="2023-05-23T00:00:00"/>
    <s v="P009"/>
    <x v="12"/>
    <x v="2"/>
    <n v="11485.64"/>
    <n v="1"/>
    <n v="0.15"/>
    <n v="9762.7900000000009"/>
    <n v="1840.16"/>
  </r>
  <r>
    <s v="O0699"/>
    <x v="443"/>
    <x v="4"/>
    <s v="C089"/>
    <x v="76"/>
    <s v="Gurugram"/>
    <x v="3"/>
    <d v="2023-03-12T00:00:00"/>
    <s v="P012"/>
    <x v="0"/>
    <x v="0"/>
    <n v="3589.32"/>
    <n v="2"/>
    <n v="0.05"/>
    <n v="6819.71"/>
    <n v="1972.98"/>
  </r>
  <r>
    <s v="O0700"/>
    <x v="64"/>
    <x v="9"/>
    <s v="C071"/>
    <x v="67"/>
    <s v="Pune"/>
    <x v="1"/>
    <d v="2023-04-25T00:00:00"/>
    <s v="P015"/>
    <x v="6"/>
    <x v="0"/>
    <n v="10751.13"/>
    <n v="1"/>
    <n v="0.2"/>
    <n v="8600.9"/>
    <n v="2617.5700000000002"/>
  </r>
  <r>
    <s v="O0701"/>
    <x v="444"/>
    <x v="10"/>
    <s v="C040"/>
    <x v="63"/>
    <s v="Kolkata"/>
    <x v="2"/>
    <d v="2023-06-17T00:00:00"/>
    <s v="P015"/>
    <x v="6"/>
    <x v="0"/>
    <n v="10751.13"/>
    <n v="4"/>
    <n v="0"/>
    <n v="43004.52"/>
    <n v="10321.120000000001"/>
  </r>
  <r>
    <s v="O0702"/>
    <x v="245"/>
    <x v="6"/>
    <s v="C004"/>
    <x v="17"/>
    <s v="Mumbai"/>
    <x v="1"/>
    <d v="2024-11-23T00:00:00"/>
    <s v="P015"/>
    <x v="6"/>
    <x v="0"/>
    <n v="10751.13"/>
    <n v="3"/>
    <n v="0.15"/>
    <n v="27415.38"/>
    <n v="2638.54"/>
  </r>
  <r>
    <s v="O0703"/>
    <x v="445"/>
    <x v="10"/>
    <s v="C062"/>
    <x v="50"/>
    <s v="Bengaluru"/>
    <x v="0"/>
    <d v="2024-11-27T00:00:00"/>
    <s v="P004"/>
    <x v="8"/>
    <x v="1"/>
    <n v="29436.02"/>
    <n v="4"/>
    <n v="0"/>
    <n v="117744.08"/>
    <n v="21749.69"/>
  </r>
  <r>
    <s v="O0704"/>
    <x v="29"/>
    <x v="11"/>
    <s v="C020"/>
    <x v="33"/>
    <s v="Noida"/>
    <x v="3"/>
    <d v="2023-04-10T00:00:00"/>
    <s v="P006"/>
    <x v="5"/>
    <x v="2"/>
    <n v="11049.86"/>
    <n v="4"/>
    <n v="0.1"/>
    <n v="39779.5"/>
    <n v="6772.12"/>
  </r>
  <r>
    <s v="O0705"/>
    <x v="446"/>
    <x v="7"/>
    <s v="C027"/>
    <x v="49"/>
    <s v="Jaipur"/>
    <x v="3"/>
    <d v="2024-01-06T00:00:00"/>
    <s v="P009"/>
    <x v="12"/>
    <x v="2"/>
    <n v="11485.64"/>
    <n v="4"/>
    <n v="0.1"/>
    <n v="41348.300000000003"/>
    <n v="2523.4699999999998"/>
  </r>
  <r>
    <s v="O0706"/>
    <x v="242"/>
    <x v="6"/>
    <s v="C083"/>
    <x v="95"/>
    <s v="Pune"/>
    <x v="1"/>
    <d v="2024-05-15T00:00:00"/>
    <s v="P003"/>
    <x v="10"/>
    <x v="1"/>
    <n v="16937.37"/>
    <n v="5"/>
    <n v="0.1"/>
    <n v="76218.16"/>
    <n v="18403.189999999999"/>
  </r>
  <r>
    <s v="O0707"/>
    <x v="62"/>
    <x v="2"/>
    <s v="C095"/>
    <x v="97"/>
    <s v="Noida"/>
    <x v="3"/>
    <d v="2023-08-05T00:00:00"/>
    <s v="P010"/>
    <x v="7"/>
    <x v="2"/>
    <n v="45275.73"/>
    <n v="1"/>
    <n v="0.2"/>
    <n v="36220.58"/>
    <n v="4508.3500000000004"/>
  </r>
  <r>
    <s v="O0708"/>
    <x v="447"/>
    <x v="9"/>
    <s v="C100"/>
    <x v="8"/>
    <s v="Chennai"/>
    <x v="0"/>
    <d v="2024-04-07T00:00:00"/>
    <s v="P011"/>
    <x v="11"/>
    <x v="0"/>
    <n v="42988.79"/>
    <n v="3"/>
    <n v="0"/>
    <n v="128966.37"/>
    <n v="31480.69"/>
  </r>
  <r>
    <s v="O0709"/>
    <x v="448"/>
    <x v="9"/>
    <s v="C016"/>
    <x v="4"/>
    <s v="Noida"/>
    <x v="3"/>
    <d v="2023-12-15T00:00:00"/>
    <s v="P013"/>
    <x v="3"/>
    <x v="0"/>
    <n v="11938.33"/>
    <n v="5"/>
    <n v="0.15"/>
    <n v="50737.9"/>
    <n v="12848.95"/>
  </r>
  <r>
    <s v="O0710"/>
    <x v="449"/>
    <x v="7"/>
    <s v="C039"/>
    <x v="32"/>
    <s v="Bengaluru"/>
    <x v="0"/>
    <d v="2024-06-30T00:00:00"/>
    <s v="P009"/>
    <x v="12"/>
    <x v="2"/>
    <n v="11485.64"/>
    <n v="3"/>
    <n v="0.2"/>
    <n v="27565.54"/>
    <n v="4938"/>
  </r>
  <r>
    <s v="O0711"/>
    <x v="450"/>
    <x v="11"/>
    <s v="C001"/>
    <x v="55"/>
    <s v="Mumbai"/>
    <x v="1"/>
    <d v="2023-01-26T00:00:00"/>
    <s v="P007"/>
    <x v="4"/>
    <x v="2"/>
    <n v="3596.1"/>
    <n v="1"/>
    <n v="0"/>
    <n v="3596.1"/>
    <n v="419.31"/>
  </r>
  <r>
    <s v="O0712"/>
    <x v="451"/>
    <x v="0"/>
    <s v="C046"/>
    <x v="11"/>
    <s v="Pune"/>
    <x v="1"/>
    <d v="2024-02-15T00:00:00"/>
    <s v="P003"/>
    <x v="10"/>
    <x v="1"/>
    <n v="16937.37"/>
    <n v="5"/>
    <n v="0.1"/>
    <n v="76218.16"/>
    <n v="19534.66"/>
  </r>
  <r>
    <s v="O0713"/>
    <x v="54"/>
    <x v="2"/>
    <s v="C093"/>
    <x v="86"/>
    <s v="Bengaluru"/>
    <x v="0"/>
    <d v="2023-09-29T00:00:00"/>
    <s v="P006"/>
    <x v="5"/>
    <x v="2"/>
    <n v="11049.86"/>
    <n v="4"/>
    <n v="0"/>
    <n v="44199.44"/>
    <n v="7396.35"/>
  </r>
  <r>
    <s v="O0714"/>
    <x v="57"/>
    <x v="4"/>
    <s v="C059"/>
    <x v="14"/>
    <s v="Gurugram"/>
    <x v="3"/>
    <d v="2023-04-04T00:00:00"/>
    <s v="P005"/>
    <x v="13"/>
    <x v="1"/>
    <n v="11544.23"/>
    <n v="5"/>
    <n v="0.15"/>
    <n v="49062.98"/>
    <n v="9819.4500000000007"/>
  </r>
  <r>
    <s v="O0715"/>
    <x v="394"/>
    <x v="6"/>
    <s v="C049"/>
    <x v="24"/>
    <s v="Pune"/>
    <x v="1"/>
    <d v="2023-08-06T00:00:00"/>
    <s v="P007"/>
    <x v="4"/>
    <x v="2"/>
    <n v="3596.1"/>
    <n v="1"/>
    <n v="0.05"/>
    <n v="3416.29"/>
    <n v="277.97000000000003"/>
  </r>
  <r>
    <s v="O0716"/>
    <x v="452"/>
    <x v="8"/>
    <s v="C052"/>
    <x v="18"/>
    <s v="Hyderabad"/>
    <x v="0"/>
    <d v="2023-05-23T00:00:00"/>
    <s v="P004"/>
    <x v="8"/>
    <x v="1"/>
    <n v="29436.02"/>
    <n v="1"/>
    <n v="0"/>
    <n v="29436.02"/>
    <n v="8813.01"/>
  </r>
  <r>
    <s v="O0717"/>
    <x v="453"/>
    <x v="5"/>
    <s v="C052"/>
    <x v="18"/>
    <s v="Hyderabad"/>
    <x v="0"/>
    <d v="2023-05-23T00:00:00"/>
    <s v="P009"/>
    <x v="12"/>
    <x v="2"/>
    <n v="11485.64"/>
    <n v="3"/>
    <n v="0"/>
    <n v="34456.92"/>
    <n v="5269.15"/>
  </r>
  <r>
    <s v="O0718"/>
    <x v="355"/>
    <x v="1"/>
    <s v="C079"/>
    <x v="66"/>
    <s v="Kolkata"/>
    <x v="2"/>
    <d v="2023-06-06T00:00:00"/>
    <s v="P008"/>
    <x v="9"/>
    <x v="2"/>
    <n v="31573.59"/>
    <n v="5"/>
    <n v="0.05"/>
    <n v="149974.54999999999"/>
    <n v="23169.58"/>
  </r>
  <r>
    <s v="O0719"/>
    <x v="454"/>
    <x v="2"/>
    <s v="C087"/>
    <x v="45"/>
    <s v="Kolkata"/>
    <x v="2"/>
    <d v="2024-08-03T00:00:00"/>
    <s v="P010"/>
    <x v="7"/>
    <x v="2"/>
    <n v="45275.73"/>
    <n v="4"/>
    <n v="0.15"/>
    <n v="153937.48000000001"/>
    <n v="39874.269999999997"/>
  </r>
  <r>
    <s v="O0720"/>
    <x v="455"/>
    <x v="4"/>
    <s v="C003"/>
    <x v="26"/>
    <s v="Kolkata"/>
    <x v="2"/>
    <d v="2023-05-23T00:00:00"/>
    <s v="P014"/>
    <x v="14"/>
    <x v="0"/>
    <n v="33465.440000000002"/>
    <n v="1"/>
    <n v="0"/>
    <n v="33465.440000000002"/>
    <n v="2121.87"/>
  </r>
  <r>
    <s v="O0721"/>
    <x v="156"/>
    <x v="3"/>
    <s v="C096"/>
    <x v="81"/>
    <s v="Chennai"/>
    <x v="0"/>
    <d v="2024-12-07T00:00:00"/>
    <s v="P009"/>
    <x v="12"/>
    <x v="2"/>
    <n v="11485.64"/>
    <n v="1"/>
    <n v="0"/>
    <n v="11485.64"/>
    <n v="3500.29"/>
  </r>
  <r>
    <s v="O0722"/>
    <x v="130"/>
    <x v="10"/>
    <s v="C090"/>
    <x v="27"/>
    <s v="Chennai"/>
    <x v="0"/>
    <d v="2023-05-09T00:00:00"/>
    <s v="P015"/>
    <x v="6"/>
    <x v="0"/>
    <n v="10751.13"/>
    <n v="1"/>
    <n v="0.15"/>
    <n v="9138.4599999999991"/>
    <n v="2650.29"/>
  </r>
  <r>
    <s v="O0723"/>
    <x v="378"/>
    <x v="4"/>
    <s v="C005"/>
    <x v="19"/>
    <s v="Chennai"/>
    <x v="0"/>
    <d v="2023-03-31T00:00:00"/>
    <s v="P004"/>
    <x v="8"/>
    <x v="1"/>
    <n v="29436.02"/>
    <n v="5"/>
    <n v="0"/>
    <n v="147180.1"/>
    <n v="31728.07"/>
  </r>
  <r>
    <s v="O0724"/>
    <x v="456"/>
    <x v="0"/>
    <s v="C060"/>
    <x v="74"/>
    <s v="Delhi"/>
    <x v="3"/>
    <d v="2023-04-23T00:00:00"/>
    <s v="P001"/>
    <x v="2"/>
    <x v="1"/>
    <n v="6094.16"/>
    <n v="5"/>
    <n v="0.05"/>
    <n v="28947.26"/>
    <n v="9770.82"/>
  </r>
  <r>
    <s v="O0725"/>
    <x v="457"/>
    <x v="3"/>
    <s v="C038"/>
    <x v="58"/>
    <s v="Mumbai"/>
    <x v="1"/>
    <d v="2024-09-15T00:00:00"/>
    <s v="P006"/>
    <x v="5"/>
    <x v="2"/>
    <n v="11049.86"/>
    <n v="4"/>
    <n v="0.15"/>
    <n v="37569.519999999997"/>
    <n v="3957.41"/>
  </r>
  <r>
    <s v="O0726"/>
    <x v="458"/>
    <x v="10"/>
    <s v="C080"/>
    <x v="80"/>
    <s v="Pune"/>
    <x v="1"/>
    <d v="2023-06-15T00:00:00"/>
    <s v="P008"/>
    <x v="9"/>
    <x v="2"/>
    <n v="31573.59"/>
    <n v="4"/>
    <n v="0.05"/>
    <n v="119979.64"/>
    <n v="7049.73"/>
  </r>
  <r>
    <s v="O0727"/>
    <x v="428"/>
    <x v="9"/>
    <s v="C022"/>
    <x v="59"/>
    <s v="Jaipur"/>
    <x v="3"/>
    <d v="2023-09-28T00:00:00"/>
    <s v="P014"/>
    <x v="14"/>
    <x v="0"/>
    <n v="33465.440000000002"/>
    <n v="2"/>
    <n v="0.05"/>
    <n v="63584.34"/>
    <n v="14475.67"/>
  </r>
  <r>
    <s v="O0728"/>
    <x v="7"/>
    <x v="3"/>
    <s v="C100"/>
    <x v="8"/>
    <s v="Chennai"/>
    <x v="0"/>
    <d v="2024-04-07T00:00:00"/>
    <s v="P001"/>
    <x v="2"/>
    <x v="1"/>
    <n v="6094.16"/>
    <n v="1"/>
    <n v="0.15"/>
    <n v="5180.04"/>
    <n v="592.79999999999995"/>
  </r>
  <r>
    <s v="O0729"/>
    <x v="6"/>
    <x v="5"/>
    <s v="C071"/>
    <x v="67"/>
    <s v="Pune"/>
    <x v="1"/>
    <d v="2023-04-25T00:00:00"/>
    <s v="P015"/>
    <x v="6"/>
    <x v="0"/>
    <n v="10751.13"/>
    <n v="1"/>
    <n v="0.1"/>
    <n v="9676.02"/>
    <n v="779.17"/>
  </r>
  <r>
    <s v="O0730"/>
    <x v="316"/>
    <x v="1"/>
    <s v="C066"/>
    <x v="25"/>
    <s v="Gurugram"/>
    <x v="3"/>
    <d v="2024-06-25T00:00:00"/>
    <s v="P011"/>
    <x v="11"/>
    <x v="0"/>
    <n v="42988.79"/>
    <n v="2"/>
    <n v="0"/>
    <n v="85977.58"/>
    <n v="12707.1"/>
  </r>
  <r>
    <s v="O0731"/>
    <x v="118"/>
    <x v="8"/>
    <s v="C007"/>
    <x v="56"/>
    <s v="Delhi"/>
    <x v="3"/>
    <d v="2023-01-31T00:00:00"/>
    <s v="P007"/>
    <x v="4"/>
    <x v="2"/>
    <n v="3596.1"/>
    <n v="1"/>
    <n v="0"/>
    <n v="3596.1"/>
    <n v="903.38"/>
  </r>
  <r>
    <s v="O0732"/>
    <x v="459"/>
    <x v="9"/>
    <s v="C072"/>
    <x v="0"/>
    <s v="Hyderabad"/>
    <x v="0"/>
    <d v="2024-03-21T00:00:00"/>
    <s v="P002"/>
    <x v="1"/>
    <x v="1"/>
    <n v="11273.63"/>
    <n v="5"/>
    <n v="0.15"/>
    <n v="47912.93"/>
    <n v="6900.48"/>
  </r>
  <r>
    <s v="O0733"/>
    <x v="398"/>
    <x v="4"/>
    <s v="C027"/>
    <x v="49"/>
    <s v="Jaipur"/>
    <x v="3"/>
    <d v="2024-01-06T00:00:00"/>
    <s v="P006"/>
    <x v="5"/>
    <x v="2"/>
    <n v="11049.86"/>
    <n v="5"/>
    <n v="0.05"/>
    <n v="52486.84"/>
    <n v="11867.35"/>
  </r>
  <r>
    <s v="O0734"/>
    <x v="460"/>
    <x v="11"/>
    <s v="C068"/>
    <x v="44"/>
    <s v="Delhi"/>
    <x v="3"/>
    <d v="2024-11-27T00:00:00"/>
    <s v="P014"/>
    <x v="14"/>
    <x v="0"/>
    <n v="33465.440000000002"/>
    <n v="3"/>
    <n v="0.2"/>
    <n v="80317.06"/>
    <n v="15048.06"/>
  </r>
  <r>
    <s v="O0735"/>
    <x v="164"/>
    <x v="2"/>
    <s v="C094"/>
    <x v="78"/>
    <s v="Chennai"/>
    <x v="0"/>
    <d v="2024-09-13T00:00:00"/>
    <s v="P004"/>
    <x v="8"/>
    <x v="1"/>
    <n v="29436.02"/>
    <n v="3"/>
    <n v="0.1"/>
    <n v="79477.25"/>
    <n v="18045.349999999999"/>
  </r>
  <r>
    <s v="O0736"/>
    <x v="461"/>
    <x v="2"/>
    <s v="C085"/>
    <x v="2"/>
    <s v="Pune"/>
    <x v="1"/>
    <d v="2023-11-11T00:00:00"/>
    <s v="P002"/>
    <x v="1"/>
    <x v="1"/>
    <n v="11273.63"/>
    <n v="2"/>
    <n v="0"/>
    <n v="22547.26"/>
    <n v="1924.6"/>
  </r>
  <r>
    <s v="O0737"/>
    <x v="351"/>
    <x v="8"/>
    <s v="C083"/>
    <x v="95"/>
    <s v="Pune"/>
    <x v="1"/>
    <d v="2024-05-15T00:00:00"/>
    <s v="P015"/>
    <x v="6"/>
    <x v="0"/>
    <n v="10751.13"/>
    <n v="1"/>
    <n v="0"/>
    <n v="10751.13"/>
    <n v="1741.6"/>
  </r>
  <r>
    <s v="O0738"/>
    <x v="462"/>
    <x v="8"/>
    <s v="C059"/>
    <x v="14"/>
    <s v="Gurugram"/>
    <x v="3"/>
    <d v="2023-04-04T00:00:00"/>
    <s v="P015"/>
    <x v="6"/>
    <x v="0"/>
    <n v="10751.13"/>
    <n v="5"/>
    <n v="0.05"/>
    <n v="51067.87"/>
    <n v="8960.9699999999993"/>
  </r>
  <r>
    <s v="O0739"/>
    <x v="463"/>
    <x v="8"/>
    <s v="C005"/>
    <x v="19"/>
    <s v="Chennai"/>
    <x v="0"/>
    <d v="2023-03-31T00:00:00"/>
    <s v="P013"/>
    <x v="3"/>
    <x v="0"/>
    <n v="11938.33"/>
    <n v="5"/>
    <n v="0.05"/>
    <n v="56707.07"/>
    <n v="10032.14"/>
  </r>
  <r>
    <s v="O0740"/>
    <x v="368"/>
    <x v="11"/>
    <s v="C052"/>
    <x v="18"/>
    <s v="Hyderabad"/>
    <x v="0"/>
    <d v="2023-05-23T00:00:00"/>
    <s v="P011"/>
    <x v="11"/>
    <x v="0"/>
    <n v="42988.79"/>
    <n v="5"/>
    <n v="0.15"/>
    <n v="182702.36"/>
    <n v="59514.98"/>
  </r>
  <r>
    <s v="O0741"/>
    <x v="429"/>
    <x v="8"/>
    <s v="C022"/>
    <x v="59"/>
    <s v="Jaipur"/>
    <x v="3"/>
    <d v="2023-09-28T00:00:00"/>
    <s v="P015"/>
    <x v="6"/>
    <x v="0"/>
    <n v="10751.13"/>
    <n v="5"/>
    <n v="0"/>
    <n v="53755.65"/>
    <n v="10584.09"/>
  </r>
  <r>
    <s v="O0742"/>
    <x v="23"/>
    <x v="10"/>
    <s v="C020"/>
    <x v="33"/>
    <s v="Noida"/>
    <x v="3"/>
    <d v="2023-04-10T00:00:00"/>
    <s v="P013"/>
    <x v="3"/>
    <x v="0"/>
    <n v="11938.33"/>
    <n v="2"/>
    <n v="0"/>
    <n v="23876.66"/>
    <n v="7224.97"/>
  </r>
  <r>
    <s v="O0743"/>
    <x v="203"/>
    <x v="7"/>
    <s v="C097"/>
    <x v="84"/>
    <s v="Kolkata"/>
    <x v="2"/>
    <d v="2024-12-31T00:00:00"/>
    <s v="P006"/>
    <x v="5"/>
    <x v="2"/>
    <n v="11049.86"/>
    <n v="1"/>
    <n v="0.2"/>
    <n v="8839.89"/>
    <n v="1394.15"/>
  </r>
  <r>
    <s v="O0744"/>
    <x v="274"/>
    <x v="7"/>
    <s v="C039"/>
    <x v="32"/>
    <s v="Bengaluru"/>
    <x v="0"/>
    <d v="2024-06-30T00:00:00"/>
    <s v="P005"/>
    <x v="13"/>
    <x v="1"/>
    <n v="11544.23"/>
    <n v="4"/>
    <n v="0"/>
    <n v="46176.92"/>
    <n v="5011.9799999999996"/>
  </r>
  <r>
    <s v="O0745"/>
    <x v="64"/>
    <x v="9"/>
    <s v="C024"/>
    <x v="34"/>
    <s v="Chennai"/>
    <x v="0"/>
    <d v="2023-05-08T00:00:00"/>
    <s v="P015"/>
    <x v="6"/>
    <x v="0"/>
    <n v="10751.13"/>
    <n v="5"/>
    <n v="0.1"/>
    <n v="48380.08"/>
    <n v="11897.67"/>
  </r>
  <r>
    <s v="O0746"/>
    <x v="223"/>
    <x v="6"/>
    <s v="C012"/>
    <x v="31"/>
    <s v="Chennai"/>
    <x v="0"/>
    <d v="2024-03-05T00:00:00"/>
    <s v="P010"/>
    <x v="7"/>
    <x v="2"/>
    <n v="45275.73"/>
    <n v="4"/>
    <n v="0.05"/>
    <n v="172047.77"/>
    <n v="45255.91"/>
  </r>
  <r>
    <s v="O0747"/>
    <x v="237"/>
    <x v="9"/>
    <s v="C045"/>
    <x v="42"/>
    <s v="Kolkata"/>
    <x v="2"/>
    <d v="2023-02-02T00:00:00"/>
    <s v="P014"/>
    <x v="14"/>
    <x v="0"/>
    <n v="33465.440000000002"/>
    <n v="4"/>
    <n v="0"/>
    <n v="133861.76000000001"/>
    <n v="10013.02"/>
  </r>
  <r>
    <s v="O0748"/>
    <x v="177"/>
    <x v="0"/>
    <s v="C078"/>
    <x v="69"/>
    <s v="Chennai"/>
    <x v="0"/>
    <d v="2024-09-15T00:00:00"/>
    <s v="P012"/>
    <x v="0"/>
    <x v="0"/>
    <n v="3589.32"/>
    <n v="2"/>
    <n v="0"/>
    <n v="7178.64"/>
    <n v="429.34"/>
  </r>
  <r>
    <s v="O0749"/>
    <x v="316"/>
    <x v="1"/>
    <s v="C014"/>
    <x v="62"/>
    <s v="Jaipur"/>
    <x v="3"/>
    <d v="2023-10-12T00:00:00"/>
    <s v="P007"/>
    <x v="4"/>
    <x v="2"/>
    <n v="3596.1"/>
    <n v="5"/>
    <n v="0"/>
    <n v="17980.5"/>
    <n v="1806.37"/>
  </r>
  <r>
    <s v="O0750"/>
    <x v="381"/>
    <x v="8"/>
    <s v="C031"/>
    <x v="54"/>
    <s v="Mumbai"/>
    <x v="1"/>
    <d v="2023-08-27T00:00:00"/>
    <s v="P014"/>
    <x v="14"/>
    <x v="0"/>
    <n v="33465.440000000002"/>
    <n v="5"/>
    <n v="0.15"/>
    <n v="142228.12"/>
    <n v="40074.81"/>
  </r>
  <r>
    <s v="O0751"/>
    <x v="328"/>
    <x v="1"/>
    <s v="C066"/>
    <x v="25"/>
    <s v="Gurugram"/>
    <x v="3"/>
    <d v="2024-06-25T00:00:00"/>
    <s v="P007"/>
    <x v="4"/>
    <x v="2"/>
    <n v="3596.1"/>
    <n v="5"/>
    <n v="0.1"/>
    <n v="16182.45"/>
    <n v="1358.73"/>
  </r>
  <r>
    <s v="O0752"/>
    <x v="464"/>
    <x v="7"/>
    <s v="C026"/>
    <x v="37"/>
    <s v="Chennai"/>
    <x v="0"/>
    <d v="2023-10-28T00:00:00"/>
    <s v="P010"/>
    <x v="7"/>
    <x v="2"/>
    <n v="45275.73"/>
    <n v="3"/>
    <n v="0.2"/>
    <n v="108661.75"/>
    <n v="23137.55"/>
  </r>
  <r>
    <s v="O0753"/>
    <x v="465"/>
    <x v="6"/>
    <s v="C095"/>
    <x v="97"/>
    <s v="Noida"/>
    <x v="3"/>
    <d v="2023-08-05T00:00:00"/>
    <s v="P009"/>
    <x v="12"/>
    <x v="2"/>
    <n v="11485.64"/>
    <n v="5"/>
    <n v="0.2"/>
    <n v="45942.559999999998"/>
    <n v="12727.74"/>
  </r>
  <r>
    <s v="O0754"/>
    <x v="435"/>
    <x v="1"/>
    <s v="C085"/>
    <x v="2"/>
    <s v="Pune"/>
    <x v="1"/>
    <d v="2023-11-11T00:00:00"/>
    <s v="P003"/>
    <x v="10"/>
    <x v="1"/>
    <n v="16937.37"/>
    <n v="5"/>
    <n v="0"/>
    <n v="84686.85"/>
    <n v="29380.639999999999"/>
  </r>
  <r>
    <s v="O0755"/>
    <x v="425"/>
    <x v="9"/>
    <s v="C052"/>
    <x v="18"/>
    <s v="Hyderabad"/>
    <x v="0"/>
    <d v="2023-05-23T00:00:00"/>
    <s v="P004"/>
    <x v="8"/>
    <x v="1"/>
    <n v="29436.02"/>
    <n v="2"/>
    <n v="0"/>
    <n v="58872.04"/>
    <n v="18394.150000000001"/>
  </r>
  <r>
    <s v="O0756"/>
    <x v="466"/>
    <x v="6"/>
    <s v="C071"/>
    <x v="67"/>
    <s v="Pune"/>
    <x v="1"/>
    <d v="2023-04-25T00:00:00"/>
    <s v="P011"/>
    <x v="11"/>
    <x v="0"/>
    <n v="42988.79"/>
    <n v="4"/>
    <n v="0"/>
    <n v="171955.16"/>
    <n v="26579.64"/>
  </r>
  <r>
    <s v="O0757"/>
    <x v="11"/>
    <x v="0"/>
    <s v="C061"/>
    <x v="36"/>
    <s v="Bengaluru"/>
    <x v="0"/>
    <d v="2024-10-04T00:00:00"/>
    <s v="P007"/>
    <x v="4"/>
    <x v="2"/>
    <n v="3596.1"/>
    <n v="4"/>
    <n v="0.2"/>
    <n v="11507.52"/>
    <n v="4006.77"/>
  </r>
  <r>
    <s v="O0758"/>
    <x v="348"/>
    <x v="4"/>
    <s v="C032"/>
    <x v="43"/>
    <s v="Mumbai"/>
    <x v="1"/>
    <d v="2024-01-25T00:00:00"/>
    <s v="P015"/>
    <x v="6"/>
    <x v="0"/>
    <n v="10751.13"/>
    <n v="2"/>
    <n v="0.2"/>
    <n v="17201.810000000001"/>
    <n v="4666.57"/>
  </r>
  <r>
    <s v="O0759"/>
    <x v="467"/>
    <x v="3"/>
    <s v="C017"/>
    <x v="72"/>
    <s v="Hyderabad"/>
    <x v="0"/>
    <d v="2023-06-09T00:00:00"/>
    <s v="P007"/>
    <x v="4"/>
    <x v="2"/>
    <n v="3596.1"/>
    <n v="3"/>
    <n v="0.2"/>
    <n v="8630.64"/>
    <n v="2271.81"/>
  </r>
  <r>
    <s v="O0760"/>
    <x v="453"/>
    <x v="5"/>
    <s v="C038"/>
    <x v="58"/>
    <s v="Mumbai"/>
    <x v="1"/>
    <d v="2024-09-15T00:00:00"/>
    <s v="P005"/>
    <x v="13"/>
    <x v="1"/>
    <n v="11544.23"/>
    <n v="4"/>
    <n v="0"/>
    <n v="46176.92"/>
    <n v="10844.44"/>
  </r>
  <r>
    <s v="O0761"/>
    <x v="468"/>
    <x v="4"/>
    <s v="C021"/>
    <x v="29"/>
    <s v="Pune"/>
    <x v="1"/>
    <d v="2023-12-19T00:00:00"/>
    <s v="P015"/>
    <x v="6"/>
    <x v="0"/>
    <n v="10751.13"/>
    <n v="2"/>
    <n v="0.2"/>
    <n v="17201.810000000001"/>
    <n v="1166.4100000000001"/>
  </r>
  <r>
    <s v="O0762"/>
    <x v="343"/>
    <x v="11"/>
    <s v="C027"/>
    <x v="49"/>
    <s v="Jaipur"/>
    <x v="3"/>
    <d v="2024-01-06T00:00:00"/>
    <s v="P004"/>
    <x v="8"/>
    <x v="1"/>
    <n v="29436.02"/>
    <n v="5"/>
    <n v="0"/>
    <n v="147180.1"/>
    <n v="33712.68"/>
  </r>
  <r>
    <s v="O0763"/>
    <x v="334"/>
    <x v="0"/>
    <s v="C011"/>
    <x v="39"/>
    <s v="Chennai"/>
    <x v="0"/>
    <d v="2023-07-23T00:00:00"/>
    <s v="P015"/>
    <x v="6"/>
    <x v="0"/>
    <n v="10751.13"/>
    <n v="3"/>
    <n v="0.15"/>
    <n v="27415.38"/>
    <n v="3777.58"/>
  </r>
  <r>
    <s v="O0764"/>
    <x v="54"/>
    <x v="2"/>
    <s v="C034"/>
    <x v="46"/>
    <s v="Pune"/>
    <x v="1"/>
    <d v="2023-06-16T00:00:00"/>
    <s v="P001"/>
    <x v="2"/>
    <x v="1"/>
    <n v="6094.16"/>
    <n v="3"/>
    <n v="0.2"/>
    <n v="14625.98"/>
    <n v="2988.45"/>
  </r>
  <r>
    <s v="O0765"/>
    <x v="469"/>
    <x v="9"/>
    <s v="C071"/>
    <x v="67"/>
    <s v="Pune"/>
    <x v="1"/>
    <d v="2023-04-25T00:00:00"/>
    <s v="P008"/>
    <x v="9"/>
    <x v="2"/>
    <n v="31573.59"/>
    <n v="1"/>
    <n v="0"/>
    <n v="31573.59"/>
    <n v="10698.13"/>
  </r>
  <r>
    <s v="O0766"/>
    <x v="187"/>
    <x v="8"/>
    <s v="C056"/>
    <x v="9"/>
    <s v="Jaipur"/>
    <x v="3"/>
    <d v="2024-02-13T00:00:00"/>
    <s v="P006"/>
    <x v="5"/>
    <x v="2"/>
    <n v="11049.86"/>
    <n v="1"/>
    <n v="0"/>
    <n v="11049.86"/>
    <n v="3426.72"/>
  </r>
  <r>
    <s v="O0767"/>
    <x v="470"/>
    <x v="2"/>
    <s v="C075"/>
    <x v="96"/>
    <s v="Chennai"/>
    <x v="0"/>
    <d v="2023-07-02T00:00:00"/>
    <s v="P013"/>
    <x v="3"/>
    <x v="0"/>
    <n v="11938.33"/>
    <n v="2"/>
    <n v="0"/>
    <n v="23876.66"/>
    <n v="2241.37"/>
  </r>
  <r>
    <s v="O0768"/>
    <x v="399"/>
    <x v="9"/>
    <s v="C010"/>
    <x v="40"/>
    <s v="Jaipur"/>
    <x v="3"/>
    <d v="2023-01-28T00:00:00"/>
    <s v="P005"/>
    <x v="13"/>
    <x v="1"/>
    <n v="11544.23"/>
    <n v="2"/>
    <n v="0.2"/>
    <n v="18470.77"/>
    <n v="5597.88"/>
  </r>
  <r>
    <s v="O0769"/>
    <x v="471"/>
    <x v="3"/>
    <s v="C076"/>
    <x v="91"/>
    <s v="Chennai"/>
    <x v="0"/>
    <d v="2023-04-19T00:00:00"/>
    <s v="P010"/>
    <x v="7"/>
    <x v="2"/>
    <n v="45275.73"/>
    <n v="4"/>
    <n v="0"/>
    <n v="181102.92"/>
    <n v="40427.18"/>
  </r>
  <r>
    <s v="O0770"/>
    <x v="71"/>
    <x v="3"/>
    <s v="C001"/>
    <x v="55"/>
    <s v="Mumbai"/>
    <x v="1"/>
    <d v="2023-01-26T00:00:00"/>
    <s v="P013"/>
    <x v="3"/>
    <x v="0"/>
    <n v="11938.33"/>
    <n v="4"/>
    <n v="0.05"/>
    <n v="45365.65"/>
    <n v="8419.75"/>
  </r>
  <r>
    <s v="O0771"/>
    <x v="166"/>
    <x v="3"/>
    <s v="C023"/>
    <x v="79"/>
    <s v="Delhi"/>
    <x v="3"/>
    <d v="2024-04-15T00:00:00"/>
    <s v="P014"/>
    <x v="14"/>
    <x v="0"/>
    <n v="33465.440000000002"/>
    <n v="1"/>
    <n v="0.05"/>
    <n v="31792.17"/>
    <n v="6507.35"/>
  </r>
  <r>
    <s v="O0772"/>
    <x v="259"/>
    <x v="4"/>
    <s v="C047"/>
    <x v="10"/>
    <s v="Hyderabad"/>
    <x v="0"/>
    <d v="2023-03-09T00:00:00"/>
    <s v="P007"/>
    <x v="4"/>
    <x v="2"/>
    <n v="3596.1"/>
    <n v="3"/>
    <n v="0.05"/>
    <n v="10248.879999999999"/>
    <n v="3434.16"/>
  </r>
  <r>
    <s v="O0773"/>
    <x v="129"/>
    <x v="1"/>
    <s v="C073"/>
    <x v="73"/>
    <s v="Bengaluru"/>
    <x v="0"/>
    <d v="2024-04-09T00:00:00"/>
    <s v="P012"/>
    <x v="0"/>
    <x v="0"/>
    <n v="3589.32"/>
    <n v="5"/>
    <n v="0"/>
    <n v="17946.599999999999"/>
    <n v="5575.51"/>
  </r>
  <r>
    <s v="O0774"/>
    <x v="472"/>
    <x v="7"/>
    <s v="C085"/>
    <x v="2"/>
    <s v="Pune"/>
    <x v="1"/>
    <d v="2023-11-11T00:00:00"/>
    <s v="P003"/>
    <x v="10"/>
    <x v="1"/>
    <n v="16937.37"/>
    <n v="4"/>
    <n v="0.15"/>
    <n v="57587.06"/>
    <n v="14353.18"/>
  </r>
  <r>
    <s v="O0775"/>
    <x v="391"/>
    <x v="0"/>
    <s v="C055"/>
    <x v="38"/>
    <s v="Jaipur"/>
    <x v="3"/>
    <d v="2024-03-14T00:00:00"/>
    <s v="P001"/>
    <x v="2"/>
    <x v="1"/>
    <n v="6094.16"/>
    <n v="1"/>
    <n v="0.2"/>
    <n v="4875.33"/>
    <n v="1025.42"/>
  </r>
  <r>
    <s v="O0776"/>
    <x v="433"/>
    <x v="3"/>
    <s v="C067"/>
    <x v="47"/>
    <s v="Hyderabad"/>
    <x v="0"/>
    <d v="2024-07-20T00:00:00"/>
    <s v="P011"/>
    <x v="11"/>
    <x v="0"/>
    <n v="42988.79"/>
    <n v="4"/>
    <n v="0.2"/>
    <n v="137564.13"/>
    <n v="15621.16"/>
  </r>
  <r>
    <s v="O0777"/>
    <x v="392"/>
    <x v="5"/>
    <s v="C046"/>
    <x v="11"/>
    <s v="Pune"/>
    <x v="1"/>
    <d v="2024-02-15T00:00:00"/>
    <s v="P008"/>
    <x v="9"/>
    <x v="2"/>
    <n v="31573.59"/>
    <n v="3"/>
    <n v="0.2"/>
    <n v="75776.62"/>
    <n v="10235.75"/>
  </r>
  <r>
    <s v="O0778"/>
    <x v="86"/>
    <x v="8"/>
    <s v="C024"/>
    <x v="34"/>
    <s v="Chennai"/>
    <x v="0"/>
    <d v="2023-05-08T00:00:00"/>
    <s v="P013"/>
    <x v="3"/>
    <x v="0"/>
    <n v="11938.33"/>
    <n v="5"/>
    <n v="0"/>
    <n v="59691.65"/>
    <n v="13122.77"/>
  </r>
  <r>
    <s v="O0779"/>
    <x v="473"/>
    <x v="9"/>
    <s v="C016"/>
    <x v="4"/>
    <s v="Noida"/>
    <x v="3"/>
    <d v="2023-12-15T00:00:00"/>
    <s v="P015"/>
    <x v="6"/>
    <x v="0"/>
    <n v="10751.13"/>
    <n v="3"/>
    <n v="0.15"/>
    <n v="27415.38"/>
    <n v="7640.01"/>
  </r>
  <r>
    <s v="O0780"/>
    <x v="474"/>
    <x v="1"/>
    <s v="C040"/>
    <x v="63"/>
    <s v="Kolkata"/>
    <x v="2"/>
    <d v="2023-06-17T00:00:00"/>
    <s v="P013"/>
    <x v="3"/>
    <x v="0"/>
    <n v="11938.33"/>
    <n v="1"/>
    <n v="0.15"/>
    <n v="10147.58"/>
    <n v="2893.75"/>
  </r>
  <r>
    <s v="O0781"/>
    <x v="204"/>
    <x v="11"/>
    <s v="C041"/>
    <x v="41"/>
    <s v="Gurugram"/>
    <x v="3"/>
    <d v="2024-01-24T00:00:00"/>
    <s v="P007"/>
    <x v="4"/>
    <x v="2"/>
    <n v="3596.1"/>
    <n v="1"/>
    <n v="0"/>
    <n v="3596.1"/>
    <n v="1182.51"/>
  </r>
  <r>
    <s v="O0782"/>
    <x v="475"/>
    <x v="6"/>
    <s v="C077"/>
    <x v="87"/>
    <s v="Hyderabad"/>
    <x v="0"/>
    <d v="2024-10-16T00:00:00"/>
    <s v="P001"/>
    <x v="2"/>
    <x v="1"/>
    <n v="6094.16"/>
    <n v="4"/>
    <n v="0.05"/>
    <n v="23157.81"/>
    <n v="1162.5899999999999"/>
  </r>
  <r>
    <s v="O0783"/>
    <x v="191"/>
    <x v="3"/>
    <s v="C077"/>
    <x v="87"/>
    <s v="Hyderabad"/>
    <x v="0"/>
    <d v="2024-10-16T00:00:00"/>
    <s v="P006"/>
    <x v="5"/>
    <x v="2"/>
    <n v="11049.86"/>
    <n v="2"/>
    <n v="0.15"/>
    <n v="18784.759999999998"/>
    <n v="6064.14"/>
  </r>
  <r>
    <s v="O0784"/>
    <x v="138"/>
    <x v="3"/>
    <s v="C044"/>
    <x v="15"/>
    <s v="Pune"/>
    <x v="1"/>
    <d v="2023-02-27T00:00:00"/>
    <s v="P006"/>
    <x v="5"/>
    <x v="2"/>
    <n v="11049.86"/>
    <n v="3"/>
    <n v="0"/>
    <n v="33149.58"/>
    <n v="10353.51"/>
  </r>
  <r>
    <s v="O0785"/>
    <x v="322"/>
    <x v="6"/>
    <s v="C005"/>
    <x v="19"/>
    <s v="Chennai"/>
    <x v="0"/>
    <d v="2023-03-31T00:00:00"/>
    <s v="P007"/>
    <x v="4"/>
    <x v="2"/>
    <n v="3596.1"/>
    <n v="1"/>
    <n v="0.15"/>
    <n v="3056.68"/>
    <n v="483.35"/>
  </r>
  <r>
    <s v="O0786"/>
    <x v="476"/>
    <x v="11"/>
    <s v="C082"/>
    <x v="64"/>
    <s v="Delhi"/>
    <x v="3"/>
    <d v="2024-09-05T00:00:00"/>
    <s v="P010"/>
    <x v="7"/>
    <x v="2"/>
    <n v="45275.73"/>
    <n v="3"/>
    <n v="0.15"/>
    <n v="115453.11"/>
    <n v="37076.620000000003"/>
  </r>
  <r>
    <s v="O0787"/>
    <x v="477"/>
    <x v="4"/>
    <s v="C074"/>
    <x v="20"/>
    <s v="Delhi"/>
    <x v="3"/>
    <d v="2023-09-27T00:00:00"/>
    <s v="P013"/>
    <x v="3"/>
    <x v="0"/>
    <n v="11938.33"/>
    <n v="1"/>
    <n v="0.05"/>
    <n v="11341.41"/>
    <n v="2695.64"/>
  </r>
  <r>
    <s v="O0788"/>
    <x v="261"/>
    <x v="4"/>
    <s v="C034"/>
    <x v="46"/>
    <s v="Pune"/>
    <x v="1"/>
    <d v="2023-06-16T00:00:00"/>
    <s v="P006"/>
    <x v="5"/>
    <x v="2"/>
    <n v="11049.86"/>
    <n v="2"/>
    <n v="0.05"/>
    <n v="20994.73"/>
    <n v="5178.26"/>
  </r>
  <r>
    <s v="O0789"/>
    <x v="263"/>
    <x v="6"/>
    <s v="C012"/>
    <x v="31"/>
    <s v="Chennai"/>
    <x v="0"/>
    <d v="2024-03-05T00:00:00"/>
    <s v="P015"/>
    <x v="6"/>
    <x v="0"/>
    <n v="10751.13"/>
    <n v="1"/>
    <n v="0"/>
    <n v="10751.13"/>
    <n v="1225.9100000000001"/>
  </r>
  <r>
    <s v="O0790"/>
    <x v="478"/>
    <x v="2"/>
    <s v="C043"/>
    <x v="65"/>
    <s v="Chennai"/>
    <x v="0"/>
    <d v="2023-08-13T00:00:00"/>
    <s v="P003"/>
    <x v="10"/>
    <x v="1"/>
    <n v="16937.37"/>
    <n v="2"/>
    <n v="0.1"/>
    <n v="30487.27"/>
    <n v="3593.15"/>
  </r>
  <r>
    <s v="O0791"/>
    <x v="278"/>
    <x v="4"/>
    <s v="C072"/>
    <x v="0"/>
    <s v="Hyderabad"/>
    <x v="0"/>
    <d v="2024-03-21T00:00:00"/>
    <s v="P004"/>
    <x v="8"/>
    <x v="1"/>
    <n v="29436.02"/>
    <n v="4"/>
    <n v="0"/>
    <n v="117744.08"/>
    <n v="6172"/>
  </r>
  <r>
    <s v="O0792"/>
    <x v="479"/>
    <x v="8"/>
    <s v="C099"/>
    <x v="70"/>
    <s v="Pune"/>
    <x v="1"/>
    <d v="2024-03-24T00:00:00"/>
    <s v="P011"/>
    <x v="11"/>
    <x v="0"/>
    <n v="42988.79"/>
    <n v="1"/>
    <n v="0.2"/>
    <n v="34391.03"/>
    <n v="6076.69"/>
  </r>
  <r>
    <s v="O0793"/>
    <x v="380"/>
    <x v="1"/>
    <s v="C080"/>
    <x v="80"/>
    <s v="Pune"/>
    <x v="1"/>
    <d v="2023-06-15T00:00:00"/>
    <s v="P013"/>
    <x v="3"/>
    <x v="0"/>
    <n v="11938.33"/>
    <n v="4"/>
    <n v="0"/>
    <n v="47753.32"/>
    <n v="5667.56"/>
  </r>
  <r>
    <s v="O0794"/>
    <x v="197"/>
    <x v="2"/>
    <s v="C018"/>
    <x v="53"/>
    <s v="Kolkata"/>
    <x v="2"/>
    <d v="2023-12-11T00:00:00"/>
    <s v="P004"/>
    <x v="8"/>
    <x v="1"/>
    <n v="29436.02"/>
    <n v="1"/>
    <n v="0"/>
    <n v="29436.02"/>
    <n v="4238.95"/>
  </r>
  <r>
    <s v="O0795"/>
    <x v="390"/>
    <x v="8"/>
    <s v="C055"/>
    <x v="38"/>
    <s v="Jaipur"/>
    <x v="3"/>
    <d v="2024-03-14T00:00:00"/>
    <s v="P001"/>
    <x v="2"/>
    <x v="1"/>
    <n v="6094.16"/>
    <n v="2"/>
    <n v="0.05"/>
    <n v="11578.9"/>
    <n v="3265.69"/>
  </r>
  <r>
    <s v="O0796"/>
    <x v="480"/>
    <x v="7"/>
    <s v="C029"/>
    <x v="85"/>
    <s v="Mumbai"/>
    <x v="1"/>
    <d v="2023-02-16T00:00:00"/>
    <s v="P002"/>
    <x v="1"/>
    <x v="1"/>
    <n v="11273.63"/>
    <n v="2"/>
    <n v="0"/>
    <n v="22547.26"/>
    <n v="4715.82"/>
  </r>
  <r>
    <s v="O0797"/>
    <x v="468"/>
    <x v="4"/>
    <s v="C052"/>
    <x v="18"/>
    <s v="Hyderabad"/>
    <x v="0"/>
    <d v="2023-05-23T00:00:00"/>
    <s v="P012"/>
    <x v="0"/>
    <x v="0"/>
    <n v="3589.32"/>
    <n v="5"/>
    <n v="0.15"/>
    <n v="15254.61"/>
    <n v="1513.79"/>
  </r>
  <r>
    <s v="O0798"/>
    <x v="469"/>
    <x v="9"/>
    <s v="C051"/>
    <x v="90"/>
    <s v="Gurugram"/>
    <x v="3"/>
    <d v="2023-05-27T00:00:00"/>
    <s v="P008"/>
    <x v="9"/>
    <x v="2"/>
    <n v="31573.59"/>
    <n v="2"/>
    <n v="0.15"/>
    <n v="53675.1"/>
    <n v="14732.78"/>
  </r>
  <r>
    <s v="O0799"/>
    <x v="16"/>
    <x v="0"/>
    <s v="C004"/>
    <x v="17"/>
    <s v="Mumbai"/>
    <x v="1"/>
    <d v="2024-11-23T00:00:00"/>
    <s v="P004"/>
    <x v="8"/>
    <x v="1"/>
    <n v="29436.02"/>
    <n v="5"/>
    <n v="0.15"/>
    <n v="125103.08"/>
    <n v="22858.23"/>
  </r>
  <r>
    <s v="O0800"/>
    <x v="481"/>
    <x v="8"/>
    <s v="C060"/>
    <x v="74"/>
    <s v="Delhi"/>
    <x v="3"/>
    <d v="2023-04-23T00:00:00"/>
    <s v="P004"/>
    <x v="8"/>
    <x v="1"/>
    <n v="29436.02"/>
    <n v="1"/>
    <n v="0"/>
    <n v="29436.02"/>
    <n v="2708.23"/>
  </r>
  <r>
    <s v="O0801"/>
    <x v="149"/>
    <x v="6"/>
    <s v="C044"/>
    <x v="15"/>
    <s v="Pune"/>
    <x v="1"/>
    <d v="2023-02-27T00:00:00"/>
    <s v="P009"/>
    <x v="12"/>
    <x v="2"/>
    <n v="11485.64"/>
    <n v="5"/>
    <n v="0.15"/>
    <n v="48813.97"/>
    <n v="8064.54"/>
  </r>
  <r>
    <s v="O0802"/>
    <x v="38"/>
    <x v="3"/>
    <s v="C034"/>
    <x v="46"/>
    <s v="Pune"/>
    <x v="1"/>
    <d v="2023-06-16T00:00:00"/>
    <s v="P015"/>
    <x v="6"/>
    <x v="0"/>
    <n v="10751.13"/>
    <n v="3"/>
    <n v="0.2"/>
    <n v="25802.71"/>
    <n v="2372.5300000000002"/>
  </r>
  <r>
    <s v="O0803"/>
    <x v="482"/>
    <x v="10"/>
    <s v="C020"/>
    <x v="33"/>
    <s v="Noida"/>
    <x v="3"/>
    <d v="2023-04-10T00:00:00"/>
    <s v="P005"/>
    <x v="13"/>
    <x v="1"/>
    <n v="11544.23"/>
    <n v="1"/>
    <n v="0"/>
    <n v="11544.23"/>
    <n v="2493.77"/>
  </r>
  <r>
    <s v="O0804"/>
    <x v="483"/>
    <x v="4"/>
    <s v="C036"/>
    <x v="12"/>
    <s v="Kolkata"/>
    <x v="2"/>
    <d v="2024-11-17T00:00:00"/>
    <s v="P010"/>
    <x v="7"/>
    <x v="2"/>
    <n v="45275.73"/>
    <n v="5"/>
    <n v="0"/>
    <n v="226378.65"/>
    <n v="64221.56"/>
  </r>
  <r>
    <s v="O0805"/>
    <x v="114"/>
    <x v="2"/>
    <s v="C070"/>
    <x v="92"/>
    <s v="Chennai"/>
    <x v="0"/>
    <d v="2023-10-01T00:00:00"/>
    <s v="P003"/>
    <x v="10"/>
    <x v="1"/>
    <n v="16937.37"/>
    <n v="1"/>
    <n v="0.2"/>
    <n v="13549.9"/>
    <n v="4120.8100000000004"/>
  </r>
  <r>
    <s v="O0806"/>
    <x v="402"/>
    <x v="5"/>
    <s v="C021"/>
    <x v="29"/>
    <s v="Pune"/>
    <x v="1"/>
    <d v="2023-12-19T00:00:00"/>
    <s v="P013"/>
    <x v="3"/>
    <x v="0"/>
    <n v="11938.33"/>
    <n v="2"/>
    <n v="0.1"/>
    <n v="21488.99"/>
    <n v="4987.12"/>
  </r>
  <r>
    <s v="O0807"/>
    <x v="151"/>
    <x v="10"/>
    <s v="C004"/>
    <x v="17"/>
    <s v="Mumbai"/>
    <x v="1"/>
    <d v="2024-11-23T00:00:00"/>
    <s v="P003"/>
    <x v="10"/>
    <x v="1"/>
    <n v="16937.37"/>
    <n v="4"/>
    <n v="0"/>
    <n v="67749.48"/>
    <n v="16520.77"/>
  </r>
  <r>
    <s v="O0808"/>
    <x v="309"/>
    <x v="8"/>
    <s v="C028"/>
    <x v="23"/>
    <s v="Jaipur"/>
    <x v="3"/>
    <d v="2023-07-16T00:00:00"/>
    <s v="P008"/>
    <x v="9"/>
    <x v="2"/>
    <n v="31573.59"/>
    <n v="4"/>
    <n v="0.05"/>
    <n v="119979.64"/>
    <n v="10057.07"/>
  </r>
  <r>
    <s v="O0809"/>
    <x v="484"/>
    <x v="7"/>
    <s v="C053"/>
    <x v="89"/>
    <s v="Kolkata"/>
    <x v="2"/>
    <d v="2024-07-28T00:00:00"/>
    <s v="P007"/>
    <x v="4"/>
    <x v="2"/>
    <n v="3596.1"/>
    <n v="5"/>
    <n v="0"/>
    <n v="17980.5"/>
    <n v="3748.68"/>
  </r>
  <r>
    <s v="O0810"/>
    <x v="485"/>
    <x v="0"/>
    <s v="C031"/>
    <x v="54"/>
    <s v="Mumbai"/>
    <x v="1"/>
    <d v="2023-08-27T00:00:00"/>
    <s v="P004"/>
    <x v="8"/>
    <x v="1"/>
    <n v="29436.02"/>
    <n v="3"/>
    <n v="0"/>
    <n v="88308.06"/>
    <n v="7911.95"/>
  </r>
  <r>
    <s v="O0811"/>
    <x v="460"/>
    <x v="11"/>
    <s v="C066"/>
    <x v="25"/>
    <s v="Gurugram"/>
    <x v="3"/>
    <d v="2024-06-25T00:00:00"/>
    <s v="P003"/>
    <x v="10"/>
    <x v="1"/>
    <n v="16937.37"/>
    <n v="4"/>
    <n v="0"/>
    <n v="67749.48"/>
    <n v="14492.08"/>
  </r>
  <r>
    <s v="O0812"/>
    <x v="183"/>
    <x v="0"/>
    <s v="C084"/>
    <x v="57"/>
    <s v="Delhi"/>
    <x v="3"/>
    <d v="2023-04-25T00:00:00"/>
    <s v="P008"/>
    <x v="9"/>
    <x v="2"/>
    <n v="31573.59"/>
    <n v="4"/>
    <n v="0.2"/>
    <n v="101035.49"/>
    <n v="7264.2"/>
  </r>
  <r>
    <s v="O0813"/>
    <x v="43"/>
    <x v="9"/>
    <s v="C061"/>
    <x v="36"/>
    <s v="Bengaluru"/>
    <x v="0"/>
    <d v="2024-10-04T00:00:00"/>
    <s v="P006"/>
    <x v="5"/>
    <x v="2"/>
    <n v="11049.86"/>
    <n v="1"/>
    <n v="0"/>
    <n v="11049.86"/>
    <n v="1421.63"/>
  </r>
  <r>
    <s v="O0814"/>
    <x v="67"/>
    <x v="3"/>
    <s v="C036"/>
    <x v="12"/>
    <s v="Kolkata"/>
    <x v="2"/>
    <d v="2024-11-17T00:00:00"/>
    <s v="P015"/>
    <x v="6"/>
    <x v="0"/>
    <n v="10751.13"/>
    <n v="1"/>
    <n v="0.2"/>
    <n v="8600.9"/>
    <n v="1456.93"/>
  </r>
  <r>
    <s v="O0815"/>
    <x v="125"/>
    <x v="4"/>
    <s v="C046"/>
    <x v="11"/>
    <s v="Pune"/>
    <x v="1"/>
    <d v="2024-02-15T00:00:00"/>
    <s v="P001"/>
    <x v="2"/>
    <x v="1"/>
    <n v="6094.16"/>
    <n v="5"/>
    <n v="0.2"/>
    <n v="24376.639999999999"/>
    <n v="4256.88"/>
  </r>
  <r>
    <s v="O0816"/>
    <x v="486"/>
    <x v="5"/>
    <s v="C084"/>
    <x v="57"/>
    <s v="Delhi"/>
    <x v="3"/>
    <d v="2023-04-25T00:00:00"/>
    <s v="P004"/>
    <x v="8"/>
    <x v="1"/>
    <n v="29436.02"/>
    <n v="4"/>
    <n v="0"/>
    <n v="117744.08"/>
    <n v="28513.05"/>
  </r>
  <r>
    <s v="O0817"/>
    <x v="487"/>
    <x v="2"/>
    <s v="C069"/>
    <x v="94"/>
    <s v="Mumbai"/>
    <x v="1"/>
    <d v="2024-11-29T00:00:00"/>
    <s v="P004"/>
    <x v="8"/>
    <x v="1"/>
    <n v="29436.02"/>
    <n v="5"/>
    <n v="0"/>
    <n v="147180.1"/>
    <n v="19610.32"/>
  </r>
  <r>
    <s v="O0818"/>
    <x v="253"/>
    <x v="11"/>
    <s v="C058"/>
    <x v="28"/>
    <s v="Bengaluru"/>
    <x v="0"/>
    <d v="2024-06-05T00:00:00"/>
    <s v="P008"/>
    <x v="9"/>
    <x v="2"/>
    <n v="31573.59"/>
    <n v="1"/>
    <n v="0.1"/>
    <n v="28416.23"/>
    <n v="9271.58"/>
  </r>
  <r>
    <s v="O0819"/>
    <x v="431"/>
    <x v="3"/>
    <s v="C048"/>
    <x v="88"/>
    <s v="Kolkata"/>
    <x v="2"/>
    <d v="2024-08-03T00:00:00"/>
    <s v="P006"/>
    <x v="5"/>
    <x v="2"/>
    <n v="11049.86"/>
    <n v="5"/>
    <n v="0"/>
    <n v="55249.3"/>
    <n v="9238.76"/>
  </r>
  <r>
    <s v="O0820"/>
    <x v="488"/>
    <x v="10"/>
    <s v="C092"/>
    <x v="22"/>
    <s v="Gurugram"/>
    <x v="3"/>
    <d v="2024-07-16T00:00:00"/>
    <s v="P006"/>
    <x v="5"/>
    <x v="2"/>
    <n v="11049.86"/>
    <n v="1"/>
    <n v="0"/>
    <n v="11049.86"/>
    <n v="2868.57"/>
  </r>
  <r>
    <s v="O0821"/>
    <x v="422"/>
    <x v="6"/>
    <s v="C091"/>
    <x v="16"/>
    <s v="Bengaluru"/>
    <x v="0"/>
    <d v="2024-11-06T00:00:00"/>
    <s v="P002"/>
    <x v="1"/>
    <x v="1"/>
    <n v="11273.63"/>
    <n v="1"/>
    <n v="0"/>
    <n v="11273.63"/>
    <n v="855.26"/>
  </r>
  <r>
    <s v="O0822"/>
    <x v="341"/>
    <x v="9"/>
    <s v="C044"/>
    <x v="15"/>
    <s v="Pune"/>
    <x v="1"/>
    <d v="2023-02-27T00:00:00"/>
    <s v="P001"/>
    <x v="2"/>
    <x v="1"/>
    <n v="6094.16"/>
    <n v="1"/>
    <n v="0.05"/>
    <n v="5789.45"/>
    <n v="1352.93"/>
  </r>
  <r>
    <s v="O0823"/>
    <x v="165"/>
    <x v="11"/>
    <s v="C057"/>
    <x v="61"/>
    <s v="Pune"/>
    <x v="1"/>
    <d v="2023-08-13T00:00:00"/>
    <s v="P001"/>
    <x v="2"/>
    <x v="1"/>
    <n v="6094.16"/>
    <n v="3"/>
    <n v="0.15"/>
    <n v="15540.11"/>
    <n v="4234.8100000000004"/>
  </r>
  <r>
    <s v="O0824"/>
    <x v="125"/>
    <x v="4"/>
    <s v="C030"/>
    <x v="75"/>
    <s v="Kolkata"/>
    <x v="2"/>
    <d v="2023-10-24T00:00:00"/>
    <s v="P009"/>
    <x v="12"/>
    <x v="2"/>
    <n v="11485.64"/>
    <n v="1"/>
    <n v="0"/>
    <n v="11485.64"/>
    <n v="3013.49"/>
  </r>
  <r>
    <s v="O0825"/>
    <x v="489"/>
    <x v="4"/>
    <s v="C068"/>
    <x v="44"/>
    <s v="Delhi"/>
    <x v="3"/>
    <d v="2024-11-27T00:00:00"/>
    <s v="P012"/>
    <x v="0"/>
    <x v="0"/>
    <n v="3589.32"/>
    <n v="1"/>
    <n v="0"/>
    <n v="3589.32"/>
    <n v="714"/>
  </r>
  <r>
    <s v="O0826"/>
    <x v="490"/>
    <x v="10"/>
    <s v="C008"/>
    <x v="48"/>
    <s v="Mumbai"/>
    <x v="1"/>
    <d v="2023-08-12T00:00:00"/>
    <s v="P003"/>
    <x v="10"/>
    <x v="1"/>
    <n v="16937.37"/>
    <n v="5"/>
    <n v="0.1"/>
    <n v="76218.16"/>
    <n v="21714.26"/>
  </r>
  <r>
    <s v="O0827"/>
    <x v="471"/>
    <x v="3"/>
    <s v="C001"/>
    <x v="55"/>
    <s v="Mumbai"/>
    <x v="1"/>
    <d v="2023-01-26T00:00:00"/>
    <s v="P013"/>
    <x v="3"/>
    <x v="0"/>
    <n v="11938.33"/>
    <n v="2"/>
    <n v="0"/>
    <n v="23876.66"/>
    <n v="2103.04"/>
  </r>
  <r>
    <s v="O0828"/>
    <x v="491"/>
    <x v="4"/>
    <s v="C017"/>
    <x v="72"/>
    <s v="Hyderabad"/>
    <x v="0"/>
    <d v="2023-06-09T00:00:00"/>
    <s v="P015"/>
    <x v="6"/>
    <x v="0"/>
    <n v="10751.13"/>
    <n v="1"/>
    <n v="0.2"/>
    <n v="8600.9"/>
    <n v="2752.02"/>
  </r>
  <r>
    <s v="O0829"/>
    <x v="492"/>
    <x v="10"/>
    <s v="C089"/>
    <x v="76"/>
    <s v="Gurugram"/>
    <x v="3"/>
    <d v="2023-03-12T00:00:00"/>
    <s v="P008"/>
    <x v="9"/>
    <x v="2"/>
    <n v="31573.59"/>
    <n v="4"/>
    <n v="0"/>
    <n v="126294.36"/>
    <n v="26162.67"/>
  </r>
  <r>
    <s v="O0830"/>
    <x v="74"/>
    <x v="1"/>
    <s v="C046"/>
    <x v="11"/>
    <s v="Pune"/>
    <x v="1"/>
    <d v="2024-02-15T00:00:00"/>
    <s v="P015"/>
    <x v="6"/>
    <x v="0"/>
    <n v="10751.13"/>
    <n v="5"/>
    <n v="0.15"/>
    <n v="45692.3"/>
    <n v="3341.07"/>
  </r>
  <r>
    <s v="O0831"/>
    <x v="326"/>
    <x v="0"/>
    <s v="C044"/>
    <x v="15"/>
    <s v="Pune"/>
    <x v="1"/>
    <d v="2023-02-27T00:00:00"/>
    <s v="P012"/>
    <x v="0"/>
    <x v="0"/>
    <n v="3589.32"/>
    <n v="5"/>
    <n v="0"/>
    <n v="17946.599999999999"/>
    <n v="1195.81"/>
  </r>
  <r>
    <s v="O0832"/>
    <x v="436"/>
    <x v="1"/>
    <s v="C040"/>
    <x v="63"/>
    <s v="Kolkata"/>
    <x v="2"/>
    <d v="2023-06-17T00:00:00"/>
    <s v="P014"/>
    <x v="14"/>
    <x v="0"/>
    <n v="33465.440000000002"/>
    <n v="2"/>
    <n v="0"/>
    <n v="66930.880000000005"/>
    <n v="6505.21"/>
  </r>
  <r>
    <s v="O0833"/>
    <x v="52"/>
    <x v="0"/>
    <s v="C073"/>
    <x v="73"/>
    <s v="Bengaluru"/>
    <x v="0"/>
    <d v="2024-04-09T00:00:00"/>
    <s v="P004"/>
    <x v="8"/>
    <x v="1"/>
    <n v="29436.02"/>
    <n v="5"/>
    <n v="0.15"/>
    <n v="125103.08"/>
    <n v="33381.69"/>
  </r>
  <r>
    <s v="O0834"/>
    <x v="484"/>
    <x v="7"/>
    <s v="C047"/>
    <x v="10"/>
    <s v="Hyderabad"/>
    <x v="0"/>
    <d v="2023-03-09T00:00:00"/>
    <s v="P015"/>
    <x v="6"/>
    <x v="0"/>
    <n v="10751.13"/>
    <n v="5"/>
    <n v="0"/>
    <n v="53755.65"/>
    <n v="3397.97"/>
  </r>
  <r>
    <s v="O0835"/>
    <x v="386"/>
    <x v="7"/>
    <s v="C075"/>
    <x v="96"/>
    <s v="Chennai"/>
    <x v="0"/>
    <d v="2023-07-02T00:00:00"/>
    <s v="P009"/>
    <x v="12"/>
    <x v="2"/>
    <n v="11485.64"/>
    <n v="2"/>
    <n v="0"/>
    <n v="22971.279999999999"/>
    <n v="4399.67"/>
  </r>
  <r>
    <s v="O0836"/>
    <x v="493"/>
    <x v="9"/>
    <s v="C025"/>
    <x v="82"/>
    <s v="Noida"/>
    <x v="3"/>
    <d v="2023-03-22T00:00:00"/>
    <s v="P012"/>
    <x v="0"/>
    <x v="0"/>
    <n v="3589.32"/>
    <n v="2"/>
    <n v="0"/>
    <n v="7178.64"/>
    <n v="2364.27"/>
  </r>
  <r>
    <s v="O0837"/>
    <x v="268"/>
    <x v="2"/>
    <s v="C026"/>
    <x v="37"/>
    <s v="Chennai"/>
    <x v="0"/>
    <d v="2023-10-28T00:00:00"/>
    <s v="P004"/>
    <x v="8"/>
    <x v="1"/>
    <n v="29436.02"/>
    <n v="5"/>
    <n v="0.2"/>
    <n v="117744.08"/>
    <n v="38170.78"/>
  </r>
  <r>
    <s v="O0838"/>
    <x v="147"/>
    <x v="6"/>
    <s v="C067"/>
    <x v="47"/>
    <s v="Hyderabad"/>
    <x v="0"/>
    <d v="2024-07-20T00:00:00"/>
    <s v="P001"/>
    <x v="2"/>
    <x v="1"/>
    <n v="6094.16"/>
    <n v="4"/>
    <n v="0"/>
    <n v="24376.639999999999"/>
    <n v="3572.17"/>
  </r>
  <r>
    <s v="O0839"/>
    <x v="347"/>
    <x v="0"/>
    <s v="C068"/>
    <x v="44"/>
    <s v="Delhi"/>
    <x v="3"/>
    <d v="2024-11-27T00:00:00"/>
    <s v="P006"/>
    <x v="5"/>
    <x v="2"/>
    <n v="11049.86"/>
    <n v="3"/>
    <n v="0"/>
    <n v="33149.58"/>
    <n v="9871.92"/>
  </r>
  <r>
    <s v="O0840"/>
    <x v="494"/>
    <x v="9"/>
    <s v="C059"/>
    <x v="14"/>
    <s v="Gurugram"/>
    <x v="3"/>
    <d v="2023-04-04T00:00:00"/>
    <s v="P002"/>
    <x v="1"/>
    <x v="1"/>
    <n v="11273.63"/>
    <n v="3"/>
    <n v="0"/>
    <n v="33820.89"/>
    <n v="6784.89"/>
  </r>
  <r>
    <s v="O0841"/>
    <x v="473"/>
    <x v="9"/>
    <s v="C087"/>
    <x v="45"/>
    <s v="Kolkata"/>
    <x v="2"/>
    <d v="2024-08-03T00:00:00"/>
    <s v="P013"/>
    <x v="3"/>
    <x v="0"/>
    <n v="11938.33"/>
    <n v="2"/>
    <n v="0"/>
    <n v="23876.66"/>
    <n v="6955.3"/>
  </r>
  <r>
    <s v="O0842"/>
    <x v="412"/>
    <x v="3"/>
    <s v="C037"/>
    <x v="1"/>
    <s v="Hyderabad"/>
    <x v="0"/>
    <d v="2024-12-19T00:00:00"/>
    <s v="P012"/>
    <x v="0"/>
    <x v="0"/>
    <n v="3589.32"/>
    <n v="4"/>
    <n v="0"/>
    <n v="14357.28"/>
    <n v="4495.2299999999996"/>
  </r>
  <r>
    <s v="O0843"/>
    <x v="189"/>
    <x v="1"/>
    <s v="C036"/>
    <x v="12"/>
    <s v="Kolkata"/>
    <x v="2"/>
    <d v="2024-11-17T00:00:00"/>
    <s v="P009"/>
    <x v="12"/>
    <x v="2"/>
    <n v="11485.64"/>
    <n v="3"/>
    <n v="0"/>
    <n v="34456.92"/>
    <n v="2615.8200000000002"/>
  </r>
  <r>
    <s v="O0844"/>
    <x v="427"/>
    <x v="5"/>
    <s v="C066"/>
    <x v="25"/>
    <s v="Gurugram"/>
    <x v="3"/>
    <d v="2024-06-25T00:00:00"/>
    <s v="P004"/>
    <x v="8"/>
    <x v="1"/>
    <n v="29436.02"/>
    <n v="1"/>
    <n v="0"/>
    <n v="29436.02"/>
    <n v="3243.89"/>
  </r>
  <r>
    <s v="O0845"/>
    <x v="80"/>
    <x v="1"/>
    <s v="C014"/>
    <x v="62"/>
    <s v="Jaipur"/>
    <x v="3"/>
    <d v="2023-10-12T00:00:00"/>
    <s v="P004"/>
    <x v="8"/>
    <x v="1"/>
    <n v="29436.02"/>
    <n v="3"/>
    <n v="0.15"/>
    <n v="75061.850000000006"/>
    <n v="17775.79"/>
  </r>
  <r>
    <s v="O0846"/>
    <x v="495"/>
    <x v="5"/>
    <s v="C037"/>
    <x v="1"/>
    <s v="Hyderabad"/>
    <x v="0"/>
    <d v="2024-12-19T00:00:00"/>
    <s v="P001"/>
    <x v="2"/>
    <x v="1"/>
    <n v="6094.16"/>
    <n v="3"/>
    <n v="0.1"/>
    <n v="16454.23"/>
    <n v="5620.06"/>
  </r>
  <r>
    <s v="O0847"/>
    <x v="277"/>
    <x v="11"/>
    <s v="C040"/>
    <x v="63"/>
    <s v="Kolkata"/>
    <x v="2"/>
    <d v="2023-06-17T00:00:00"/>
    <s v="P014"/>
    <x v="14"/>
    <x v="0"/>
    <n v="33465.440000000002"/>
    <n v="5"/>
    <n v="0.2"/>
    <n v="133861.76000000001"/>
    <n v="38658.21"/>
  </r>
  <r>
    <s v="O0848"/>
    <x v="496"/>
    <x v="5"/>
    <s v="C083"/>
    <x v="95"/>
    <s v="Pune"/>
    <x v="1"/>
    <d v="2024-05-15T00:00:00"/>
    <s v="P013"/>
    <x v="3"/>
    <x v="0"/>
    <n v="11938.33"/>
    <n v="1"/>
    <n v="0.05"/>
    <n v="11341.41"/>
    <n v="648.41999999999996"/>
  </r>
  <r>
    <s v="O0849"/>
    <x v="203"/>
    <x v="7"/>
    <s v="C011"/>
    <x v="39"/>
    <s v="Chennai"/>
    <x v="0"/>
    <d v="2023-07-23T00:00:00"/>
    <s v="P011"/>
    <x v="11"/>
    <x v="0"/>
    <n v="42988.79"/>
    <n v="3"/>
    <n v="0.15"/>
    <n v="109621.41"/>
    <n v="33091.660000000003"/>
  </r>
  <r>
    <s v="O0850"/>
    <x v="251"/>
    <x v="7"/>
    <s v="C045"/>
    <x v="42"/>
    <s v="Kolkata"/>
    <x v="2"/>
    <d v="2023-02-02T00:00:00"/>
    <s v="P007"/>
    <x v="4"/>
    <x v="2"/>
    <n v="3596.1"/>
    <n v="3"/>
    <n v="0"/>
    <n v="10788.3"/>
    <n v="2995.68"/>
  </r>
  <r>
    <s v="O0851"/>
    <x v="232"/>
    <x v="0"/>
    <s v="C008"/>
    <x v="48"/>
    <s v="Mumbai"/>
    <x v="1"/>
    <d v="2023-08-12T00:00:00"/>
    <s v="P007"/>
    <x v="4"/>
    <x v="2"/>
    <n v="3596.1"/>
    <n v="3"/>
    <n v="0"/>
    <n v="10788.3"/>
    <n v="1203.52"/>
  </r>
  <r>
    <s v="O0852"/>
    <x v="452"/>
    <x v="8"/>
    <s v="C086"/>
    <x v="3"/>
    <s v="Kolkata"/>
    <x v="2"/>
    <d v="2023-03-01T00:00:00"/>
    <s v="P009"/>
    <x v="12"/>
    <x v="2"/>
    <n v="11485.64"/>
    <n v="4"/>
    <n v="0.05"/>
    <n v="43645.43"/>
    <n v="14767.67"/>
  </r>
  <r>
    <s v="O0853"/>
    <x v="456"/>
    <x v="0"/>
    <s v="C080"/>
    <x v="80"/>
    <s v="Pune"/>
    <x v="1"/>
    <d v="2023-06-15T00:00:00"/>
    <s v="P009"/>
    <x v="12"/>
    <x v="2"/>
    <n v="11485.64"/>
    <n v="3"/>
    <n v="0"/>
    <n v="34456.92"/>
    <n v="2176.65"/>
  </r>
  <r>
    <s v="O0854"/>
    <x v="243"/>
    <x v="7"/>
    <s v="C010"/>
    <x v="40"/>
    <s v="Jaipur"/>
    <x v="3"/>
    <d v="2023-01-28T00:00:00"/>
    <s v="P014"/>
    <x v="14"/>
    <x v="0"/>
    <n v="33465.440000000002"/>
    <n v="5"/>
    <n v="0.05"/>
    <n v="158960.84"/>
    <n v="41370.21"/>
  </r>
  <r>
    <s v="O0855"/>
    <x v="423"/>
    <x v="1"/>
    <s v="C051"/>
    <x v="90"/>
    <s v="Gurugram"/>
    <x v="3"/>
    <d v="2023-05-27T00:00:00"/>
    <s v="P015"/>
    <x v="6"/>
    <x v="0"/>
    <n v="10751.13"/>
    <n v="4"/>
    <n v="0.15"/>
    <n v="36553.839999999997"/>
    <n v="2758.74"/>
  </r>
  <r>
    <s v="O0856"/>
    <x v="99"/>
    <x v="9"/>
    <s v="C075"/>
    <x v="96"/>
    <s v="Chennai"/>
    <x v="0"/>
    <d v="2023-07-02T00:00:00"/>
    <s v="P010"/>
    <x v="7"/>
    <x v="2"/>
    <n v="45275.73"/>
    <n v="5"/>
    <n v="0"/>
    <n v="226378.65"/>
    <n v="54594.54"/>
  </r>
  <r>
    <s v="O0857"/>
    <x v="497"/>
    <x v="6"/>
    <s v="C086"/>
    <x v="3"/>
    <s v="Kolkata"/>
    <x v="2"/>
    <d v="2023-03-01T00:00:00"/>
    <s v="P014"/>
    <x v="14"/>
    <x v="0"/>
    <n v="33465.440000000002"/>
    <n v="1"/>
    <n v="0.1"/>
    <n v="30118.9"/>
    <n v="6636.59"/>
  </r>
  <r>
    <s v="O0858"/>
    <x v="498"/>
    <x v="2"/>
    <s v="C043"/>
    <x v="65"/>
    <s v="Chennai"/>
    <x v="0"/>
    <d v="2023-08-13T00:00:00"/>
    <s v="P010"/>
    <x v="7"/>
    <x v="2"/>
    <n v="45275.73"/>
    <n v="2"/>
    <n v="0"/>
    <n v="90551.46"/>
    <n v="12451.08"/>
  </r>
  <r>
    <s v="O0859"/>
    <x v="499"/>
    <x v="2"/>
    <s v="C036"/>
    <x v="12"/>
    <s v="Kolkata"/>
    <x v="2"/>
    <d v="2024-11-17T00:00:00"/>
    <s v="P002"/>
    <x v="1"/>
    <x v="1"/>
    <n v="11273.63"/>
    <n v="4"/>
    <n v="0.15"/>
    <n v="38330.339999999997"/>
    <n v="11482.62"/>
  </r>
  <r>
    <s v="O0860"/>
    <x v="417"/>
    <x v="6"/>
    <s v="C047"/>
    <x v="10"/>
    <s v="Hyderabad"/>
    <x v="0"/>
    <d v="2023-03-09T00:00:00"/>
    <s v="P003"/>
    <x v="10"/>
    <x v="1"/>
    <n v="16937.37"/>
    <n v="3"/>
    <n v="0.05"/>
    <n v="48271.5"/>
    <n v="6351.89"/>
  </r>
  <r>
    <s v="O0861"/>
    <x v="415"/>
    <x v="0"/>
    <s v="C095"/>
    <x v="97"/>
    <s v="Noida"/>
    <x v="3"/>
    <d v="2023-08-05T00:00:00"/>
    <s v="P005"/>
    <x v="13"/>
    <x v="1"/>
    <n v="11544.23"/>
    <n v="2"/>
    <n v="0"/>
    <n v="23088.46"/>
    <n v="6556.69"/>
  </r>
  <r>
    <s v="O0862"/>
    <x v="84"/>
    <x v="1"/>
    <s v="C091"/>
    <x v="16"/>
    <s v="Bengaluru"/>
    <x v="0"/>
    <d v="2024-11-06T00:00:00"/>
    <s v="P006"/>
    <x v="5"/>
    <x v="2"/>
    <n v="11049.86"/>
    <n v="1"/>
    <n v="0"/>
    <n v="11049.86"/>
    <n v="902.74"/>
  </r>
  <r>
    <s v="O0863"/>
    <x v="409"/>
    <x v="5"/>
    <s v="C070"/>
    <x v="92"/>
    <s v="Chennai"/>
    <x v="0"/>
    <d v="2023-10-01T00:00:00"/>
    <s v="P010"/>
    <x v="7"/>
    <x v="2"/>
    <n v="45275.73"/>
    <n v="4"/>
    <n v="0"/>
    <n v="181102.92"/>
    <n v="31141.33"/>
  </r>
  <r>
    <s v="O0864"/>
    <x v="257"/>
    <x v="2"/>
    <s v="C026"/>
    <x v="37"/>
    <s v="Chennai"/>
    <x v="0"/>
    <d v="2023-10-28T00:00:00"/>
    <s v="P011"/>
    <x v="11"/>
    <x v="0"/>
    <n v="42988.79"/>
    <n v="3"/>
    <n v="0.2"/>
    <n v="103173.1"/>
    <n v="11585.4"/>
  </r>
  <r>
    <s v="O0865"/>
    <x v="212"/>
    <x v="1"/>
    <s v="C085"/>
    <x v="2"/>
    <s v="Pune"/>
    <x v="1"/>
    <d v="2023-11-11T00:00:00"/>
    <s v="P009"/>
    <x v="12"/>
    <x v="2"/>
    <n v="11485.64"/>
    <n v="4"/>
    <n v="0"/>
    <n v="45942.559999999998"/>
    <n v="14046.69"/>
  </r>
  <r>
    <s v="O0866"/>
    <x v="372"/>
    <x v="4"/>
    <s v="C040"/>
    <x v="63"/>
    <s v="Kolkata"/>
    <x v="2"/>
    <d v="2023-06-17T00:00:00"/>
    <s v="P013"/>
    <x v="3"/>
    <x v="0"/>
    <n v="11938.33"/>
    <n v="2"/>
    <n v="0.2"/>
    <n v="19101.330000000002"/>
    <n v="4886.43"/>
  </r>
  <r>
    <s v="O0867"/>
    <x v="259"/>
    <x v="4"/>
    <s v="C084"/>
    <x v="57"/>
    <s v="Delhi"/>
    <x v="3"/>
    <d v="2023-04-25T00:00:00"/>
    <s v="P004"/>
    <x v="8"/>
    <x v="1"/>
    <n v="29436.02"/>
    <n v="5"/>
    <n v="0"/>
    <n v="147180.1"/>
    <n v="16853.04"/>
  </r>
  <r>
    <s v="O0868"/>
    <x v="500"/>
    <x v="4"/>
    <s v="C052"/>
    <x v="18"/>
    <s v="Hyderabad"/>
    <x v="0"/>
    <d v="2023-05-23T00:00:00"/>
    <s v="P004"/>
    <x v="8"/>
    <x v="1"/>
    <n v="29436.02"/>
    <n v="2"/>
    <n v="0"/>
    <n v="58872.04"/>
    <n v="15503.79"/>
  </r>
  <r>
    <s v="O0869"/>
    <x v="197"/>
    <x v="2"/>
    <s v="C051"/>
    <x v="90"/>
    <s v="Gurugram"/>
    <x v="3"/>
    <d v="2023-05-27T00:00:00"/>
    <s v="P011"/>
    <x v="11"/>
    <x v="0"/>
    <n v="42988.79"/>
    <n v="4"/>
    <n v="0.1"/>
    <n v="154759.64000000001"/>
    <n v="10010.66"/>
  </r>
  <r>
    <s v="O0870"/>
    <x v="237"/>
    <x v="9"/>
    <s v="C069"/>
    <x v="94"/>
    <s v="Mumbai"/>
    <x v="1"/>
    <d v="2024-11-29T00:00:00"/>
    <s v="P002"/>
    <x v="1"/>
    <x v="1"/>
    <n v="11273.63"/>
    <n v="3"/>
    <n v="0.2"/>
    <n v="27056.71"/>
    <n v="9394.17"/>
  </r>
  <r>
    <s v="O0871"/>
    <x v="9"/>
    <x v="5"/>
    <s v="C088"/>
    <x v="7"/>
    <s v="Mumbai"/>
    <x v="1"/>
    <d v="2023-03-29T00:00:00"/>
    <s v="P004"/>
    <x v="8"/>
    <x v="1"/>
    <n v="29436.02"/>
    <n v="4"/>
    <n v="0.2"/>
    <n v="94195.26"/>
    <n v="17488.330000000002"/>
  </r>
  <r>
    <s v="O0872"/>
    <x v="429"/>
    <x v="8"/>
    <s v="C071"/>
    <x v="67"/>
    <s v="Pune"/>
    <x v="1"/>
    <d v="2023-04-25T00:00:00"/>
    <s v="P013"/>
    <x v="3"/>
    <x v="0"/>
    <n v="11938.33"/>
    <n v="2"/>
    <n v="0"/>
    <n v="23876.66"/>
    <n v="4503.45"/>
  </r>
  <r>
    <s v="O0873"/>
    <x v="301"/>
    <x v="0"/>
    <s v="C058"/>
    <x v="28"/>
    <s v="Bengaluru"/>
    <x v="0"/>
    <d v="2024-06-05T00:00:00"/>
    <s v="P006"/>
    <x v="5"/>
    <x v="2"/>
    <n v="11049.86"/>
    <n v="1"/>
    <n v="0"/>
    <n v="11049.86"/>
    <n v="756.92"/>
  </r>
  <r>
    <s v="O0874"/>
    <x v="243"/>
    <x v="7"/>
    <s v="C044"/>
    <x v="15"/>
    <s v="Pune"/>
    <x v="1"/>
    <d v="2023-02-27T00:00:00"/>
    <s v="P003"/>
    <x v="10"/>
    <x v="1"/>
    <n v="16937.37"/>
    <n v="2"/>
    <n v="0"/>
    <n v="33874.74"/>
    <n v="10064.25"/>
  </r>
  <r>
    <s v="O0875"/>
    <x v="417"/>
    <x v="6"/>
    <s v="C065"/>
    <x v="68"/>
    <s v="Noida"/>
    <x v="3"/>
    <d v="2024-09-02T00:00:00"/>
    <s v="P015"/>
    <x v="6"/>
    <x v="0"/>
    <n v="10751.13"/>
    <n v="1"/>
    <n v="0.1"/>
    <n v="9676.02"/>
    <n v="2185.19"/>
  </r>
  <r>
    <s v="O0876"/>
    <x v="4"/>
    <x v="3"/>
    <s v="C013"/>
    <x v="71"/>
    <s v="Kolkata"/>
    <x v="2"/>
    <d v="2024-04-04T00:00:00"/>
    <s v="P005"/>
    <x v="13"/>
    <x v="1"/>
    <n v="11544.23"/>
    <n v="1"/>
    <n v="0"/>
    <n v="11544.23"/>
    <n v="1262.07"/>
  </r>
  <r>
    <s v="O0877"/>
    <x v="361"/>
    <x v="4"/>
    <s v="C069"/>
    <x v="94"/>
    <s v="Mumbai"/>
    <x v="1"/>
    <d v="2024-11-29T00:00:00"/>
    <s v="P005"/>
    <x v="13"/>
    <x v="1"/>
    <n v="11544.23"/>
    <n v="4"/>
    <n v="0.2"/>
    <n v="36941.54"/>
    <n v="3274.4"/>
  </r>
  <r>
    <s v="O0878"/>
    <x v="352"/>
    <x v="9"/>
    <s v="C045"/>
    <x v="42"/>
    <s v="Kolkata"/>
    <x v="2"/>
    <d v="2023-02-02T00:00:00"/>
    <s v="P010"/>
    <x v="7"/>
    <x v="2"/>
    <n v="45275.73"/>
    <n v="1"/>
    <n v="0"/>
    <n v="45275.73"/>
    <n v="15062.52"/>
  </r>
  <r>
    <s v="O0879"/>
    <x v="374"/>
    <x v="9"/>
    <s v="C020"/>
    <x v="33"/>
    <s v="Noida"/>
    <x v="3"/>
    <d v="2023-04-10T00:00:00"/>
    <s v="P003"/>
    <x v="10"/>
    <x v="1"/>
    <n v="16937.37"/>
    <n v="2"/>
    <n v="0.1"/>
    <n v="30487.27"/>
    <n v="5486.09"/>
  </r>
  <r>
    <s v="O0880"/>
    <x v="238"/>
    <x v="6"/>
    <s v="C084"/>
    <x v="57"/>
    <s v="Delhi"/>
    <x v="3"/>
    <d v="2023-04-25T00:00:00"/>
    <s v="P007"/>
    <x v="4"/>
    <x v="2"/>
    <n v="3596.1"/>
    <n v="4"/>
    <n v="0"/>
    <n v="14384.4"/>
    <n v="2370.8200000000002"/>
  </r>
  <r>
    <s v="O0881"/>
    <x v="501"/>
    <x v="5"/>
    <s v="C091"/>
    <x v="16"/>
    <s v="Bengaluru"/>
    <x v="0"/>
    <d v="2024-11-06T00:00:00"/>
    <s v="P009"/>
    <x v="12"/>
    <x v="2"/>
    <n v="11485.64"/>
    <n v="2"/>
    <n v="0"/>
    <n v="22971.279999999999"/>
    <n v="2628.26"/>
  </r>
  <r>
    <s v="O0882"/>
    <x v="184"/>
    <x v="11"/>
    <s v="C007"/>
    <x v="56"/>
    <s v="Delhi"/>
    <x v="3"/>
    <d v="2023-01-31T00:00:00"/>
    <s v="P003"/>
    <x v="10"/>
    <x v="1"/>
    <n v="16937.37"/>
    <n v="3"/>
    <n v="0"/>
    <n v="50812.11"/>
    <n v="9339.44"/>
  </r>
  <r>
    <s v="O0883"/>
    <x v="502"/>
    <x v="10"/>
    <s v="C084"/>
    <x v="57"/>
    <s v="Delhi"/>
    <x v="3"/>
    <d v="2023-04-25T00:00:00"/>
    <s v="P015"/>
    <x v="6"/>
    <x v="0"/>
    <n v="10751.13"/>
    <n v="1"/>
    <n v="0.1"/>
    <n v="9676.02"/>
    <n v="2281.15"/>
  </r>
  <r>
    <s v="O0884"/>
    <x v="9"/>
    <x v="5"/>
    <s v="C058"/>
    <x v="28"/>
    <s v="Bengaluru"/>
    <x v="0"/>
    <d v="2024-06-05T00:00:00"/>
    <s v="P001"/>
    <x v="2"/>
    <x v="1"/>
    <n v="6094.16"/>
    <n v="3"/>
    <n v="0.05"/>
    <n v="17368.36"/>
    <n v="3015.11"/>
  </r>
  <r>
    <s v="O0885"/>
    <x v="386"/>
    <x v="7"/>
    <s v="C018"/>
    <x v="53"/>
    <s v="Kolkata"/>
    <x v="2"/>
    <d v="2023-12-11T00:00:00"/>
    <s v="P003"/>
    <x v="10"/>
    <x v="1"/>
    <n v="16937.37"/>
    <n v="4"/>
    <n v="0"/>
    <n v="67749.48"/>
    <n v="5170.3999999999996"/>
  </r>
  <r>
    <s v="O0886"/>
    <x v="233"/>
    <x v="11"/>
    <s v="C040"/>
    <x v="63"/>
    <s v="Kolkata"/>
    <x v="2"/>
    <d v="2023-06-17T00:00:00"/>
    <s v="P010"/>
    <x v="7"/>
    <x v="2"/>
    <n v="45275.73"/>
    <n v="2"/>
    <n v="0.05"/>
    <n v="86023.89"/>
    <n v="9448.64"/>
  </r>
  <r>
    <s v="O0887"/>
    <x v="503"/>
    <x v="5"/>
    <s v="C049"/>
    <x v="24"/>
    <s v="Pune"/>
    <x v="1"/>
    <d v="2023-08-06T00:00:00"/>
    <s v="P012"/>
    <x v="0"/>
    <x v="0"/>
    <n v="3589.32"/>
    <n v="2"/>
    <n v="0.15"/>
    <n v="6101.84"/>
    <n v="2124.8200000000002"/>
  </r>
  <r>
    <s v="O0888"/>
    <x v="413"/>
    <x v="7"/>
    <s v="C061"/>
    <x v="36"/>
    <s v="Bengaluru"/>
    <x v="0"/>
    <d v="2024-10-04T00:00:00"/>
    <s v="P012"/>
    <x v="0"/>
    <x v="0"/>
    <n v="3589.32"/>
    <n v="1"/>
    <n v="0.05"/>
    <n v="3409.85"/>
    <n v="970.36"/>
  </r>
  <r>
    <s v="O0889"/>
    <x v="408"/>
    <x v="4"/>
    <s v="C037"/>
    <x v="1"/>
    <s v="Hyderabad"/>
    <x v="0"/>
    <d v="2024-12-19T00:00:00"/>
    <s v="P010"/>
    <x v="7"/>
    <x v="2"/>
    <n v="45275.73"/>
    <n v="4"/>
    <n v="0.1"/>
    <n v="162992.63"/>
    <n v="46360.08"/>
  </r>
  <r>
    <s v="O0890"/>
    <x v="504"/>
    <x v="3"/>
    <s v="C036"/>
    <x v="12"/>
    <s v="Kolkata"/>
    <x v="2"/>
    <d v="2024-11-17T00:00:00"/>
    <s v="P015"/>
    <x v="6"/>
    <x v="0"/>
    <n v="10751.13"/>
    <n v="5"/>
    <n v="0.1"/>
    <n v="48380.08"/>
    <n v="7086.78"/>
  </r>
  <r>
    <s v="O0891"/>
    <x v="208"/>
    <x v="0"/>
    <s v="C031"/>
    <x v="54"/>
    <s v="Mumbai"/>
    <x v="1"/>
    <d v="2023-08-27T00:00:00"/>
    <s v="P001"/>
    <x v="2"/>
    <x v="1"/>
    <n v="6094.16"/>
    <n v="2"/>
    <n v="0"/>
    <n v="12188.32"/>
    <n v="1775.39"/>
  </r>
  <r>
    <s v="O0892"/>
    <x v="505"/>
    <x v="9"/>
    <s v="C027"/>
    <x v="49"/>
    <s v="Jaipur"/>
    <x v="3"/>
    <d v="2024-01-06T00:00:00"/>
    <s v="P007"/>
    <x v="4"/>
    <x v="2"/>
    <n v="3596.1"/>
    <n v="1"/>
    <n v="0.2"/>
    <n v="2876.88"/>
    <n v="815.77"/>
  </r>
  <r>
    <s v="O0893"/>
    <x v="415"/>
    <x v="0"/>
    <s v="C004"/>
    <x v="17"/>
    <s v="Mumbai"/>
    <x v="1"/>
    <d v="2024-11-23T00:00:00"/>
    <s v="P006"/>
    <x v="5"/>
    <x v="2"/>
    <n v="11049.86"/>
    <n v="4"/>
    <n v="0.1"/>
    <n v="39779.5"/>
    <n v="6254.53"/>
  </r>
  <r>
    <s v="O0894"/>
    <x v="284"/>
    <x v="2"/>
    <s v="C020"/>
    <x v="33"/>
    <s v="Noida"/>
    <x v="3"/>
    <d v="2023-04-10T00:00:00"/>
    <s v="P005"/>
    <x v="13"/>
    <x v="1"/>
    <n v="11544.23"/>
    <n v="2"/>
    <n v="0"/>
    <n v="23088.46"/>
    <n v="1848.01"/>
  </r>
  <r>
    <s v="O0895"/>
    <x v="198"/>
    <x v="9"/>
    <s v="C065"/>
    <x v="68"/>
    <s v="Noida"/>
    <x v="3"/>
    <d v="2024-09-02T00:00:00"/>
    <s v="P001"/>
    <x v="2"/>
    <x v="1"/>
    <n v="6094.16"/>
    <n v="2"/>
    <n v="0"/>
    <n v="12188.32"/>
    <n v="2560.85"/>
  </r>
  <r>
    <s v="O0896"/>
    <x v="459"/>
    <x v="9"/>
    <s v="C018"/>
    <x v="53"/>
    <s v="Kolkata"/>
    <x v="2"/>
    <d v="2023-12-11T00:00:00"/>
    <s v="P012"/>
    <x v="0"/>
    <x v="0"/>
    <n v="3589.32"/>
    <n v="2"/>
    <n v="0.1"/>
    <n v="6460.78"/>
    <n v="1963.76"/>
  </r>
  <r>
    <s v="O0897"/>
    <x v="368"/>
    <x v="11"/>
    <s v="C023"/>
    <x v="79"/>
    <s v="Delhi"/>
    <x v="3"/>
    <d v="2024-04-15T00:00:00"/>
    <s v="P005"/>
    <x v="13"/>
    <x v="1"/>
    <n v="11544.23"/>
    <n v="3"/>
    <n v="0.2"/>
    <n v="27706.15"/>
    <n v="9626.85"/>
  </r>
  <r>
    <s v="O0898"/>
    <x v="139"/>
    <x v="4"/>
    <s v="C074"/>
    <x v="20"/>
    <s v="Delhi"/>
    <x v="3"/>
    <d v="2023-09-27T00:00:00"/>
    <s v="P001"/>
    <x v="2"/>
    <x v="1"/>
    <n v="6094.16"/>
    <n v="2"/>
    <n v="0"/>
    <n v="12188.32"/>
    <n v="2775.96"/>
  </r>
  <r>
    <s v="O0899"/>
    <x v="364"/>
    <x v="4"/>
    <s v="C026"/>
    <x v="37"/>
    <s v="Chennai"/>
    <x v="0"/>
    <d v="2023-10-28T00:00:00"/>
    <s v="P015"/>
    <x v="6"/>
    <x v="0"/>
    <n v="10751.13"/>
    <n v="3"/>
    <n v="0.1"/>
    <n v="29028.05"/>
    <n v="1697.04"/>
  </r>
  <r>
    <s v="O0900"/>
    <x v="28"/>
    <x v="5"/>
    <s v="C069"/>
    <x v="94"/>
    <s v="Mumbai"/>
    <x v="1"/>
    <d v="2024-11-29T00:00:00"/>
    <s v="P013"/>
    <x v="3"/>
    <x v="0"/>
    <n v="11938.33"/>
    <n v="3"/>
    <n v="0.1"/>
    <n v="32233.49"/>
    <n v="7061.78"/>
  </r>
  <r>
    <s v="O0901"/>
    <x v="506"/>
    <x v="8"/>
    <s v="C081"/>
    <x v="98"/>
    <s v="Chennai"/>
    <x v="0"/>
    <d v="2024-06-27T00:00:00"/>
    <s v="P005"/>
    <x v="13"/>
    <x v="1"/>
    <n v="11544.23"/>
    <n v="2"/>
    <n v="0.2"/>
    <n v="18470.77"/>
    <n v="6398.31"/>
  </r>
  <r>
    <s v="O0902"/>
    <x v="219"/>
    <x v="9"/>
    <s v="C075"/>
    <x v="96"/>
    <s v="Chennai"/>
    <x v="0"/>
    <d v="2023-07-02T00:00:00"/>
    <s v="P003"/>
    <x v="10"/>
    <x v="1"/>
    <n v="16937.37"/>
    <n v="5"/>
    <n v="0"/>
    <n v="84686.85"/>
    <n v="8694.5499999999993"/>
  </r>
  <r>
    <s v="O0903"/>
    <x v="208"/>
    <x v="0"/>
    <s v="C070"/>
    <x v="92"/>
    <s v="Chennai"/>
    <x v="0"/>
    <d v="2023-10-01T00:00:00"/>
    <s v="P008"/>
    <x v="9"/>
    <x v="2"/>
    <n v="31573.59"/>
    <n v="1"/>
    <n v="0"/>
    <n v="31573.59"/>
    <n v="3782.11"/>
  </r>
  <r>
    <s v="O0904"/>
    <x v="361"/>
    <x v="4"/>
    <s v="C035"/>
    <x v="13"/>
    <s v="Pune"/>
    <x v="1"/>
    <d v="2023-12-30T00:00:00"/>
    <s v="P002"/>
    <x v="1"/>
    <x v="1"/>
    <n v="11273.63"/>
    <n v="1"/>
    <n v="0.1"/>
    <n v="10146.27"/>
    <n v="1962.26"/>
  </r>
  <r>
    <s v="O0905"/>
    <x v="507"/>
    <x v="4"/>
    <s v="C007"/>
    <x v="56"/>
    <s v="Delhi"/>
    <x v="3"/>
    <d v="2023-01-31T00:00:00"/>
    <s v="P011"/>
    <x v="11"/>
    <x v="0"/>
    <n v="42988.79"/>
    <n v="5"/>
    <n v="0"/>
    <n v="214943.95"/>
    <n v="62749.37"/>
  </r>
  <r>
    <s v="O0906"/>
    <x v="171"/>
    <x v="2"/>
    <s v="C086"/>
    <x v="3"/>
    <s v="Kolkata"/>
    <x v="2"/>
    <d v="2023-03-01T00:00:00"/>
    <s v="P009"/>
    <x v="12"/>
    <x v="2"/>
    <n v="11485.64"/>
    <n v="2"/>
    <n v="0.2"/>
    <n v="18377.02"/>
    <n v="5573.48"/>
  </r>
  <r>
    <s v="O0907"/>
    <x v="372"/>
    <x v="4"/>
    <s v="C010"/>
    <x v="40"/>
    <s v="Jaipur"/>
    <x v="3"/>
    <d v="2023-01-28T00:00:00"/>
    <s v="P012"/>
    <x v="0"/>
    <x v="0"/>
    <n v="3589.32"/>
    <n v="1"/>
    <n v="0"/>
    <n v="3589.32"/>
    <n v="338.52"/>
  </r>
  <r>
    <s v="O0908"/>
    <x v="233"/>
    <x v="11"/>
    <s v="C015"/>
    <x v="35"/>
    <s v="Delhi"/>
    <x v="3"/>
    <d v="2023-06-13T00:00:00"/>
    <s v="P011"/>
    <x v="11"/>
    <x v="0"/>
    <n v="42988.79"/>
    <n v="2"/>
    <n v="0.2"/>
    <n v="68782.06"/>
    <n v="5727.91"/>
  </r>
  <r>
    <s v="O0909"/>
    <x v="508"/>
    <x v="2"/>
    <s v="C078"/>
    <x v="69"/>
    <s v="Chennai"/>
    <x v="0"/>
    <d v="2024-09-15T00:00:00"/>
    <s v="P008"/>
    <x v="9"/>
    <x v="2"/>
    <n v="31573.59"/>
    <n v="3"/>
    <n v="0"/>
    <n v="94720.77"/>
    <n v="15352.08"/>
  </r>
  <r>
    <s v="O0910"/>
    <x v="137"/>
    <x v="2"/>
    <s v="C053"/>
    <x v="89"/>
    <s v="Kolkata"/>
    <x v="2"/>
    <d v="2024-07-28T00:00:00"/>
    <s v="P002"/>
    <x v="1"/>
    <x v="1"/>
    <n v="11273.63"/>
    <n v="4"/>
    <n v="0.1"/>
    <n v="40585.07"/>
    <n v="3259.37"/>
  </r>
  <r>
    <s v="O0911"/>
    <x v="509"/>
    <x v="6"/>
    <s v="C040"/>
    <x v="63"/>
    <s v="Kolkata"/>
    <x v="2"/>
    <d v="2023-06-17T00:00:00"/>
    <s v="P012"/>
    <x v="0"/>
    <x v="0"/>
    <n v="3589.32"/>
    <n v="3"/>
    <n v="0"/>
    <n v="10767.96"/>
    <n v="3690.81"/>
  </r>
  <r>
    <s v="O0912"/>
    <x v="510"/>
    <x v="4"/>
    <s v="C051"/>
    <x v="90"/>
    <s v="Gurugram"/>
    <x v="3"/>
    <d v="2023-05-27T00:00:00"/>
    <s v="P011"/>
    <x v="11"/>
    <x v="0"/>
    <n v="42988.79"/>
    <n v="4"/>
    <n v="0.15"/>
    <n v="146161.89000000001"/>
    <n v="21220.52"/>
  </r>
  <r>
    <s v="O0913"/>
    <x v="458"/>
    <x v="10"/>
    <s v="C046"/>
    <x v="11"/>
    <s v="Pune"/>
    <x v="1"/>
    <d v="2024-02-15T00:00:00"/>
    <s v="P015"/>
    <x v="6"/>
    <x v="0"/>
    <n v="10751.13"/>
    <n v="5"/>
    <n v="0.15"/>
    <n v="45692.3"/>
    <n v="14478.98"/>
  </r>
  <r>
    <s v="O0914"/>
    <x v="165"/>
    <x v="11"/>
    <s v="C019"/>
    <x v="83"/>
    <s v="Mumbai"/>
    <x v="1"/>
    <d v="2023-04-05T00:00:00"/>
    <s v="P003"/>
    <x v="10"/>
    <x v="1"/>
    <n v="16937.37"/>
    <n v="3"/>
    <n v="0"/>
    <n v="50812.11"/>
    <n v="12685.73"/>
  </r>
  <r>
    <s v="O0915"/>
    <x v="511"/>
    <x v="3"/>
    <s v="C021"/>
    <x v="29"/>
    <s v="Pune"/>
    <x v="1"/>
    <d v="2023-12-19T00:00:00"/>
    <s v="P006"/>
    <x v="5"/>
    <x v="2"/>
    <n v="11049.86"/>
    <n v="4"/>
    <n v="0"/>
    <n v="44199.44"/>
    <n v="11942.62"/>
  </r>
  <r>
    <s v="O0916"/>
    <x v="125"/>
    <x v="4"/>
    <s v="C042"/>
    <x v="77"/>
    <s v="Hyderabad"/>
    <x v="0"/>
    <d v="2024-10-17T00:00:00"/>
    <s v="P006"/>
    <x v="5"/>
    <x v="2"/>
    <n v="11049.86"/>
    <n v="2"/>
    <n v="0"/>
    <n v="22099.72"/>
    <n v="5937.07"/>
  </r>
  <r>
    <s v="O0917"/>
    <x v="252"/>
    <x v="0"/>
    <s v="C034"/>
    <x v="46"/>
    <s v="Pune"/>
    <x v="1"/>
    <d v="2023-06-16T00:00:00"/>
    <s v="P006"/>
    <x v="5"/>
    <x v="2"/>
    <n v="11049.86"/>
    <n v="5"/>
    <n v="0.05"/>
    <n v="52486.84"/>
    <n v="16020.41"/>
  </r>
  <r>
    <s v="O0918"/>
    <x v="512"/>
    <x v="10"/>
    <s v="C009"/>
    <x v="30"/>
    <s v="Kolkata"/>
    <x v="2"/>
    <d v="2024-06-01T00:00:00"/>
    <s v="P005"/>
    <x v="13"/>
    <x v="1"/>
    <n v="11544.23"/>
    <n v="1"/>
    <n v="0"/>
    <n v="11544.23"/>
    <n v="2663.45"/>
  </r>
  <r>
    <s v="O0919"/>
    <x v="513"/>
    <x v="8"/>
    <s v="C033"/>
    <x v="99"/>
    <s v="Hyderabad"/>
    <x v="0"/>
    <d v="2024-04-09T00:00:00"/>
    <s v="P008"/>
    <x v="9"/>
    <x v="2"/>
    <n v="31573.59"/>
    <n v="2"/>
    <n v="0.15"/>
    <n v="53675.1"/>
    <n v="11790.54"/>
  </r>
  <r>
    <s v="O0920"/>
    <x v="232"/>
    <x v="0"/>
    <s v="C014"/>
    <x v="62"/>
    <s v="Jaipur"/>
    <x v="3"/>
    <d v="2023-10-12T00:00:00"/>
    <s v="P015"/>
    <x v="6"/>
    <x v="0"/>
    <n v="10751.13"/>
    <n v="2"/>
    <n v="0"/>
    <n v="21502.26"/>
    <n v="5883.08"/>
  </r>
  <r>
    <s v="O0921"/>
    <x v="514"/>
    <x v="6"/>
    <s v="C016"/>
    <x v="4"/>
    <s v="Noida"/>
    <x v="3"/>
    <d v="2023-12-15T00:00:00"/>
    <s v="P008"/>
    <x v="9"/>
    <x v="2"/>
    <n v="31573.59"/>
    <n v="3"/>
    <n v="0"/>
    <n v="94720.77"/>
    <n v="9506.77"/>
  </r>
  <r>
    <s v="O0922"/>
    <x v="515"/>
    <x v="0"/>
    <s v="C003"/>
    <x v="26"/>
    <s v="Kolkata"/>
    <x v="2"/>
    <d v="2023-05-23T00:00:00"/>
    <s v="P007"/>
    <x v="4"/>
    <x v="2"/>
    <n v="3596.1"/>
    <n v="3"/>
    <n v="0.05"/>
    <n v="10248.879999999999"/>
    <n v="547.48"/>
  </r>
  <r>
    <s v="O0923"/>
    <x v="110"/>
    <x v="10"/>
    <s v="C034"/>
    <x v="46"/>
    <s v="Pune"/>
    <x v="1"/>
    <d v="2023-06-16T00:00:00"/>
    <s v="P007"/>
    <x v="4"/>
    <x v="2"/>
    <n v="3596.1"/>
    <n v="2"/>
    <n v="0.15"/>
    <n v="6113.37"/>
    <n v="430"/>
  </r>
  <r>
    <s v="O0924"/>
    <x v="321"/>
    <x v="7"/>
    <s v="C006"/>
    <x v="6"/>
    <s v="Jaipur"/>
    <x v="3"/>
    <d v="2024-03-08T00:00:00"/>
    <s v="P001"/>
    <x v="2"/>
    <x v="1"/>
    <n v="6094.16"/>
    <n v="1"/>
    <n v="0.15"/>
    <n v="5180.04"/>
    <n v="260.99"/>
  </r>
  <r>
    <s v="O0925"/>
    <x v="516"/>
    <x v="11"/>
    <s v="C048"/>
    <x v="88"/>
    <s v="Kolkata"/>
    <x v="2"/>
    <d v="2024-08-03T00:00:00"/>
    <s v="P011"/>
    <x v="11"/>
    <x v="0"/>
    <n v="42988.79"/>
    <n v="4"/>
    <n v="0.15"/>
    <n v="146161.89000000001"/>
    <n v="25709.29"/>
  </r>
  <r>
    <s v="O0926"/>
    <x v="468"/>
    <x v="4"/>
    <s v="C085"/>
    <x v="2"/>
    <s v="Pune"/>
    <x v="1"/>
    <d v="2023-11-11T00:00:00"/>
    <s v="P004"/>
    <x v="8"/>
    <x v="1"/>
    <n v="29436.02"/>
    <n v="4"/>
    <n v="0.05"/>
    <n v="111856.88"/>
    <n v="35182.480000000003"/>
  </r>
  <r>
    <s v="O0927"/>
    <x v="336"/>
    <x v="8"/>
    <s v="C065"/>
    <x v="68"/>
    <s v="Noida"/>
    <x v="3"/>
    <d v="2024-09-02T00:00:00"/>
    <s v="P003"/>
    <x v="10"/>
    <x v="1"/>
    <n v="16937.37"/>
    <n v="5"/>
    <n v="0.05"/>
    <n v="80452.509999999995"/>
    <n v="6470.68"/>
  </r>
  <r>
    <s v="O0928"/>
    <x v="177"/>
    <x v="0"/>
    <s v="C088"/>
    <x v="7"/>
    <s v="Mumbai"/>
    <x v="1"/>
    <d v="2023-03-29T00:00:00"/>
    <s v="P008"/>
    <x v="9"/>
    <x v="2"/>
    <n v="31573.59"/>
    <n v="5"/>
    <n v="0.15"/>
    <n v="134187.76"/>
    <n v="37233.49"/>
  </r>
  <r>
    <s v="O0929"/>
    <x v="211"/>
    <x v="9"/>
    <s v="C033"/>
    <x v="99"/>
    <s v="Hyderabad"/>
    <x v="0"/>
    <d v="2024-04-09T00:00:00"/>
    <s v="P013"/>
    <x v="3"/>
    <x v="0"/>
    <n v="11938.33"/>
    <n v="2"/>
    <n v="0.05"/>
    <n v="22682.83"/>
    <n v="1635.72"/>
  </r>
  <r>
    <s v="O0930"/>
    <x v="517"/>
    <x v="1"/>
    <s v="C098"/>
    <x v="51"/>
    <s v="Hyderabad"/>
    <x v="0"/>
    <d v="2024-02-13T00:00:00"/>
    <s v="P013"/>
    <x v="3"/>
    <x v="0"/>
    <n v="11938.33"/>
    <n v="3"/>
    <n v="0"/>
    <n v="35814.99"/>
    <n v="5215.2"/>
  </r>
  <r>
    <s v="O0931"/>
    <x v="112"/>
    <x v="7"/>
    <s v="C027"/>
    <x v="49"/>
    <s v="Jaipur"/>
    <x v="3"/>
    <d v="2024-01-06T00:00:00"/>
    <s v="P001"/>
    <x v="2"/>
    <x v="1"/>
    <n v="6094.16"/>
    <n v="1"/>
    <n v="0"/>
    <n v="6094.16"/>
    <n v="615.70000000000005"/>
  </r>
  <r>
    <s v="O0932"/>
    <x v="129"/>
    <x v="1"/>
    <s v="C098"/>
    <x v="51"/>
    <s v="Hyderabad"/>
    <x v="0"/>
    <d v="2024-02-13T00:00:00"/>
    <s v="P008"/>
    <x v="9"/>
    <x v="2"/>
    <n v="31573.59"/>
    <n v="2"/>
    <n v="0.15"/>
    <n v="53675.1"/>
    <n v="3891.48"/>
  </r>
  <r>
    <s v="O0933"/>
    <x v="179"/>
    <x v="8"/>
    <s v="C038"/>
    <x v="58"/>
    <s v="Mumbai"/>
    <x v="1"/>
    <d v="2024-09-15T00:00:00"/>
    <s v="P008"/>
    <x v="9"/>
    <x v="2"/>
    <n v="31573.59"/>
    <n v="3"/>
    <n v="0.1"/>
    <n v="85248.69"/>
    <n v="29460.48"/>
  </r>
  <r>
    <s v="O0934"/>
    <x v="214"/>
    <x v="11"/>
    <s v="C069"/>
    <x v="94"/>
    <s v="Mumbai"/>
    <x v="1"/>
    <d v="2024-11-29T00:00:00"/>
    <s v="P001"/>
    <x v="2"/>
    <x v="1"/>
    <n v="6094.16"/>
    <n v="1"/>
    <n v="0.05"/>
    <n v="5789.45"/>
    <n v="1926.34"/>
  </r>
  <r>
    <s v="O0935"/>
    <x v="292"/>
    <x v="1"/>
    <s v="C076"/>
    <x v="91"/>
    <s v="Chennai"/>
    <x v="0"/>
    <d v="2023-04-19T00:00:00"/>
    <s v="P005"/>
    <x v="13"/>
    <x v="1"/>
    <n v="11544.23"/>
    <n v="5"/>
    <n v="0.05"/>
    <n v="54835.09"/>
    <n v="5326.19"/>
  </r>
  <r>
    <s v="O0936"/>
    <x v="518"/>
    <x v="9"/>
    <s v="C087"/>
    <x v="45"/>
    <s v="Kolkata"/>
    <x v="2"/>
    <d v="2024-08-03T00:00:00"/>
    <s v="P001"/>
    <x v="2"/>
    <x v="1"/>
    <n v="6094.16"/>
    <n v="3"/>
    <n v="0"/>
    <n v="18282.48"/>
    <n v="6258.45"/>
  </r>
  <r>
    <s v="O0937"/>
    <x v="10"/>
    <x v="5"/>
    <s v="C016"/>
    <x v="4"/>
    <s v="Noida"/>
    <x v="3"/>
    <d v="2023-12-15T00:00:00"/>
    <s v="P011"/>
    <x v="11"/>
    <x v="0"/>
    <n v="42988.79"/>
    <n v="5"/>
    <n v="0.15"/>
    <n v="182702.36"/>
    <n v="59866.46"/>
  </r>
  <r>
    <s v="O0938"/>
    <x v="232"/>
    <x v="0"/>
    <s v="C082"/>
    <x v="64"/>
    <s v="Delhi"/>
    <x v="3"/>
    <d v="2024-09-05T00:00:00"/>
    <s v="P015"/>
    <x v="6"/>
    <x v="0"/>
    <n v="10751.13"/>
    <n v="3"/>
    <n v="0.15"/>
    <n v="27415.38"/>
    <n v="3686.19"/>
  </r>
  <r>
    <s v="O0939"/>
    <x v="519"/>
    <x v="5"/>
    <s v="C069"/>
    <x v="94"/>
    <s v="Mumbai"/>
    <x v="1"/>
    <d v="2024-11-29T00:00:00"/>
    <s v="P008"/>
    <x v="9"/>
    <x v="2"/>
    <n v="31573.59"/>
    <n v="1"/>
    <n v="0"/>
    <n v="31573.59"/>
    <n v="5300.28"/>
  </r>
  <r>
    <s v="O0940"/>
    <x v="520"/>
    <x v="7"/>
    <s v="C006"/>
    <x v="6"/>
    <s v="Jaipur"/>
    <x v="3"/>
    <d v="2024-03-08T00:00:00"/>
    <s v="P012"/>
    <x v="0"/>
    <x v="0"/>
    <n v="3589.32"/>
    <n v="4"/>
    <n v="0"/>
    <n v="14357.28"/>
    <n v="952.63"/>
  </r>
  <r>
    <s v="O0941"/>
    <x v="116"/>
    <x v="2"/>
    <s v="C059"/>
    <x v="14"/>
    <s v="Gurugram"/>
    <x v="3"/>
    <d v="2023-04-04T00:00:00"/>
    <s v="P010"/>
    <x v="7"/>
    <x v="2"/>
    <n v="45275.73"/>
    <n v="4"/>
    <n v="0"/>
    <n v="181102.92"/>
    <n v="25058.28"/>
  </r>
  <r>
    <s v="O0942"/>
    <x v="111"/>
    <x v="7"/>
    <s v="C046"/>
    <x v="11"/>
    <s v="Pune"/>
    <x v="1"/>
    <d v="2024-02-15T00:00:00"/>
    <s v="P004"/>
    <x v="8"/>
    <x v="1"/>
    <n v="29436.02"/>
    <n v="5"/>
    <n v="0.05"/>
    <n v="139821.1"/>
    <n v="15366.68"/>
  </r>
  <r>
    <s v="O0943"/>
    <x v="285"/>
    <x v="6"/>
    <s v="C097"/>
    <x v="84"/>
    <s v="Kolkata"/>
    <x v="2"/>
    <d v="2024-12-31T00:00:00"/>
    <s v="P008"/>
    <x v="9"/>
    <x v="2"/>
    <n v="31573.59"/>
    <n v="2"/>
    <n v="0"/>
    <n v="63147.18"/>
    <n v="15247.34"/>
  </r>
  <r>
    <s v="O0944"/>
    <x v="327"/>
    <x v="9"/>
    <s v="C055"/>
    <x v="38"/>
    <s v="Jaipur"/>
    <x v="3"/>
    <d v="2024-03-14T00:00:00"/>
    <s v="P011"/>
    <x v="11"/>
    <x v="0"/>
    <n v="42988.79"/>
    <n v="4"/>
    <n v="0.2"/>
    <n v="137564.13"/>
    <n v="11645.17"/>
  </r>
  <r>
    <s v="O0945"/>
    <x v="56"/>
    <x v="10"/>
    <s v="C013"/>
    <x v="71"/>
    <s v="Kolkata"/>
    <x v="2"/>
    <d v="2024-04-04T00:00:00"/>
    <s v="P010"/>
    <x v="7"/>
    <x v="2"/>
    <n v="45275.73"/>
    <n v="4"/>
    <n v="0.05"/>
    <n v="172047.77"/>
    <n v="54790.89"/>
  </r>
  <r>
    <s v="O0946"/>
    <x v="521"/>
    <x v="5"/>
    <s v="C060"/>
    <x v="74"/>
    <s v="Delhi"/>
    <x v="3"/>
    <d v="2023-04-23T00:00:00"/>
    <s v="P006"/>
    <x v="5"/>
    <x v="2"/>
    <n v="11049.86"/>
    <n v="1"/>
    <n v="0.15"/>
    <n v="9392.3799999999992"/>
    <n v="2002.81"/>
  </r>
  <r>
    <s v="O0947"/>
    <x v="83"/>
    <x v="1"/>
    <s v="C002"/>
    <x v="52"/>
    <s v="Hyderabad"/>
    <x v="0"/>
    <d v="2023-09-08T00:00:00"/>
    <s v="P003"/>
    <x v="10"/>
    <x v="1"/>
    <n v="16937.37"/>
    <n v="3"/>
    <n v="0.05"/>
    <n v="48271.5"/>
    <n v="7763.05"/>
  </r>
  <r>
    <s v="O0948"/>
    <x v="492"/>
    <x v="10"/>
    <s v="C039"/>
    <x v="32"/>
    <s v="Bengaluru"/>
    <x v="0"/>
    <d v="2024-06-30T00:00:00"/>
    <s v="P009"/>
    <x v="12"/>
    <x v="2"/>
    <n v="11485.64"/>
    <n v="1"/>
    <n v="0"/>
    <n v="11485.64"/>
    <n v="2089.4899999999998"/>
  </r>
  <r>
    <s v="O0949"/>
    <x v="522"/>
    <x v="6"/>
    <s v="C088"/>
    <x v="7"/>
    <s v="Mumbai"/>
    <x v="1"/>
    <d v="2023-03-29T00:00:00"/>
    <s v="P015"/>
    <x v="6"/>
    <x v="0"/>
    <n v="10751.13"/>
    <n v="2"/>
    <n v="0.2"/>
    <n v="17201.810000000001"/>
    <n v="2246.02"/>
  </r>
  <r>
    <s v="O0950"/>
    <x v="355"/>
    <x v="1"/>
    <s v="C072"/>
    <x v="0"/>
    <s v="Hyderabad"/>
    <x v="0"/>
    <d v="2024-03-21T00:00:00"/>
    <s v="P015"/>
    <x v="6"/>
    <x v="0"/>
    <n v="10751.13"/>
    <n v="2"/>
    <n v="0.2"/>
    <n v="17201.810000000001"/>
    <n v="4454.26"/>
  </r>
  <r>
    <s v="O0951"/>
    <x v="496"/>
    <x v="5"/>
    <s v="C083"/>
    <x v="95"/>
    <s v="Pune"/>
    <x v="1"/>
    <d v="2024-05-15T00:00:00"/>
    <s v="P005"/>
    <x v="13"/>
    <x v="1"/>
    <n v="11544.23"/>
    <n v="1"/>
    <n v="0.15"/>
    <n v="9812.6"/>
    <n v="1502.68"/>
  </r>
  <r>
    <s v="O0952"/>
    <x v="34"/>
    <x v="5"/>
    <s v="C022"/>
    <x v="59"/>
    <s v="Jaipur"/>
    <x v="3"/>
    <d v="2023-09-28T00:00:00"/>
    <s v="P015"/>
    <x v="6"/>
    <x v="0"/>
    <n v="10751.13"/>
    <n v="4"/>
    <n v="0.2"/>
    <n v="34403.620000000003"/>
    <n v="7806.8"/>
  </r>
  <r>
    <s v="O0953"/>
    <x v="523"/>
    <x v="11"/>
    <s v="C069"/>
    <x v="94"/>
    <s v="Mumbai"/>
    <x v="1"/>
    <d v="2024-11-29T00:00:00"/>
    <s v="P005"/>
    <x v="13"/>
    <x v="1"/>
    <n v="11544.23"/>
    <n v="1"/>
    <n v="0.2"/>
    <n v="9235.3799999999992"/>
    <n v="1534.29"/>
  </r>
  <r>
    <s v="O0954"/>
    <x v="73"/>
    <x v="8"/>
    <s v="C076"/>
    <x v="91"/>
    <s v="Chennai"/>
    <x v="0"/>
    <d v="2023-04-19T00:00:00"/>
    <s v="P011"/>
    <x v="11"/>
    <x v="0"/>
    <n v="42988.79"/>
    <n v="4"/>
    <n v="0.1"/>
    <n v="154759.64000000001"/>
    <n v="39637.1"/>
  </r>
  <r>
    <s v="O0955"/>
    <x v="265"/>
    <x v="6"/>
    <s v="C042"/>
    <x v="77"/>
    <s v="Hyderabad"/>
    <x v="0"/>
    <d v="2024-10-17T00:00:00"/>
    <s v="P014"/>
    <x v="14"/>
    <x v="0"/>
    <n v="33465.440000000002"/>
    <n v="5"/>
    <n v="0"/>
    <n v="167327.20000000001"/>
    <n v="32273.85"/>
  </r>
  <r>
    <s v="O0956"/>
    <x v="524"/>
    <x v="8"/>
    <s v="C013"/>
    <x v="71"/>
    <s v="Kolkata"/>
    <x v="2"/>
    <d v="2024-04-04T00:00:00"/>
    <s v="P011"/>
    <x v="11"/>
    <x v="0"/>
    <n v="42988.79"/>
    <n v="4"/>
    <n v="0.2"/>
    <n v="137564.13"/>
    <n v="36357.06"/>
  </r>
  <r>
    <s v="O0957"/>
    <x v="525"/>
    <x v="2"/>
    <s v="C032"/>
    <x v="43"/>
    <s v="Mumbai"/>
    <x v="1"/>
    <d v="2024-01-25T00:00:00"/>
    <s v="P007"/>
    <x v="4"/>
    <x v="2"/>
    <n v="3596.1"/>
    <n v="5"/>
    <n v="0.1"/>
    <n v="16182.45"/>
    <n v="4695.1000000000004"/>
  </r>
  <r>
    <s v="O0958"/>
    <x v="234"/>
    <x v="1"/>
    <s v="C068"/>
    <x v="44"/>
    <s v="Delhi"/>
    <x v="3"/>
    <d v="2024-11-27T00:00:00"/>
    <s v="P015"/>
    <x v="6"/>
    <x v="0"/>
    <n v="10751.13"/>
    <n v="5"/>
    <n v="0"/>
    <n v="53755.65"/>
    <n v="4627.53"/>
  </r>
  <r>
    <s v="O0959"/>
    <x v="132"/>
    <x v="5"/>
    <s v="C062"/>
    <x v="50"/>
    <s v="Bengaluru"/>
    <x v="0"/>
    <d v="2024-11-27T00:00:00"/>
    <s v="P005"/>
    <x v="13"/>
    <x v="1"/>
    <n v="11544.23"/>
    <n v="2"/>
    <n v="0"/>
    <n v="23088.46"/>
    <n v="7888.16"/>
  </r>
  <r>
    <s v="O0960"/>
    <x v="526"/>
    <x v="2"/>
    <s v="C035"/>
    <x v="13"/>
    <s v="Pune"/>
    <x v="1"/>
    <d v="2023-12-30T00:00:00"/>
    <s v="P009"/>
    <x v="12"/>
    <x v="2"/>
    <n v="11485.64"/>
    <n v="2"/>
    <n v="0"/>
    <n v="22971.279999999999"/>
    <n v="4066.2"/>
  </r>
  <r>
    <s v="O0961"/>
    <x v="210"/>
    <x v="3"/>
    <s v="C073"/>
    <x v="73"/>
    <s v="Bengaluru"/>
    <x v="0"/>
    <d v="2024-04-09T00:00:00"/>
    <s v="P010"/>
    <x v="7"/>
    <x v="2"/>
    <n v="45275.73"/>
    <n v="4"/>
    <n v="0"/>
    <n v="181102.92"/>
    <n v="63237.66"/>
  </r>
  <r>
    <s v="O0962"/>
    <x v="88"/>
    <x v="2"/>
    <s v="C042"/>
    <x v="77"/>
    <s v="Hyderabad"/>
    <x v="0"/>
    <d v="2024-10-17T00:00:00"/>
    <s v="P011"/>
    <x v="11"/>
    <x v="0"/>
    <n v="42988.79"/>
    <n v="2"/>
    <n v="0.2"/>
    <n v="68782.06"/>
    <n v="15717.68"/>
  </r>
  <r>
    <s v="O0963"/>
    <x v="527"/>
    <x v="9"/>
    <s v="C049"/>
    <x v="24"/>
    <s v="Pune"/>
    <x v="1"/>
    <d v="2023-08-06T00:00:00"/>
    <s v="P008"/>
    <x v="9"/>
    <x v="2"/>
    <n v="31573.59"/>
    <n v="1"/>
    <n v="0"/>
    <n v="31573.59"/>
    <n v="5254.78"/>
  </r>
  <r>
    <s v="O0964"/>
    <x v="528"/>
    <x v="11"/>
    <s v="C014"/>
    <x v="62"/>
    <s v="Jaipur"/>
    <x v="3"/>
    <d v="2023-10-12T00:00:00"/>
    <s v="P015"/>
    <x v="6"/>
    <x v="0"/>
    <n v="10751.13"/>
    <n v="5"/>
    <n v="0"/>
    <n v="53755.65"/>
    <n v="16502.3"/>
  </r>
  <r>
    <s v="O0965"/>
    <x v="364"/>
    <x v="4"/>
    <s v="C066"/>
    <x v="25"/>
    <s v="Gurugram"/>
    <x v="3"/>
    <d v="2024-06-25T00:00:00"/>
    <s v="P011"/>
    <x v="11"/>
    <x v="0"/>
    <n v="42988.79"/>
    <n v="4"/>
    <n v="0.2"/>
    <n v="137564.13"/>
    <n v="7388.45"/>
  </r>
  <r>
    <s v="O0966"/>
    <x v="95"/>
    <x v="6"/>
    <s v="C036"/>
    <x v="12"/>
    <s v="Kolkata"/>
    <x v="2"/>
    <d v="2024-11-17T00:00:00"/>
    <s v="P012"/>
    <x v="0"/>
    <x v="0"/>
    <n v="3589.32"/>
    <n v="5"/>
    <n v="0.1"/>
    <n v="16151.94"/>
    <n v="3339.71"/>
  </r>
  <r>
    <s v="O0967"/>
    <x v="326"/>
    <x v="0"/>
    <s v="C026"/>
    <x v="37"/>
    <s v="Chennai"/>
    <x v="0"/>
    <d v="2023-10-28T00:00:00"/>
    <s v="P007"/>
    <x v="4"/>
    <x v="2"/>
    <n v="3596.1"/>
    <n v="1"/>
    <n v="0.05"/>
    <n v="3416.29"/>
    <n v="324.18"/>
  </r>
  <r>
    <s v="O0968"/>
    <x v="188"/>
    <x v="1"/>
    <s v="C059"/>
    <x v="14"/>
    <s v="Gurugram"/>
    <x v="3"/>
    <d v="2023-04-04T00:00:00"/>
    <s v="P015"/>
    <x v="6"/>
    <x v="0"/>
    <n v="10751.13"/>
    <n v="5"/>
    <n v="0.1"/>
    <n v="48380.08"/>
    <n v="13426.11"/>
  </r>
  <r>
    <s v="O0969"/>
    <x v="319"/>
    <x v="3"/>
    <s v="C035"/>
    <x v="13"/>
    <s v="Pune"/>
    <x v="1"/>
    <d v="2023-12-30T00:00:00"/>
    <s v="P005"/>
    <x v="13"/>
    <x v="1"/>
    <n v="11544.23"/>
    <n v="1"/>
    <n v="0.1"/>
    <n v="10389.81"/>
    <n v="2949.29"/>
  </r>
  <r>
    <s v="O0970"/>
    <x v="36"/>
    <x v="10"/>
    <s v="C088"/>
    <x v="7"/>
    <s v="Mumbai"/>
    <x v="1"/>
    <d v="2023-03-29T00:00:00"/>
    <s v="P014"/>
    <x v="14"/>
    <x v="0"/>
    <n v="33465.440000000002"/>
    <n v="5"/>
    <n v="0"/>
    <n v="167327.20000000001"/>
    <n v="52435"/>
  </r>
  <r>
    <s v="O0971"/>
    <x v="176"/>
    <x v="10"/>
    <s v="C093"/>
    <x v="86"/>
    <s v="Bengaluru"/>
    <x v="0"/>
    <d v="2023-09-29T00:00:00"/>
    <s v="P010"/>
    <x v="7"/>
    <x v="2"/>
    <n v="45275.73"/>
    <n v="4"/>
    <n v="0.15"/>
    <n v="153937.48000000001"/>
    <n v="30121.78"/>
  </r>
  <r>
    <s v="O0972"/>
    <x v="529"/>
    <x v="9"/>
    <s v="C018"/>
    <x v="53"/>
    <s v="Kolkata"/>
    <x v="2"/>
    <d v="2023-12-11T00:00:00"/>
    <s v="P006"/>
    <x v="5"/>
    <x v="2"/>
    <n v="11049.86"/>
    <n v="4"/>
    <n v="0"/>
    <n v="44199.44"/>
    <n v="4493.3100000000004"/>
  </r>
  <r>
    <s v="O0973"/>
    <x v="247"/>
    <x v="4"/>
    <s v="C001"/>
    <x v="55"/>
    <s v="Mumbai"/>
    <x v="1"/>
    <d v="2023-01-26T00:00:00"/>
    <s v="P007"/>
    <x v="4"/>
    <x v="2"/>
    <n v="3596.1"/>
    <n v="2"/>
    <n v="0.1"/>
    <n v="6472.98"/>
    <n v="1505.59"/>
  </r>
  <r>
    <s v="O0974"/>
    <x v="361"/>
    <x v="4"/>
    <s v="C096"/>
    <x v="81"/>
    <s v="Chennai"/>
    <x v="0"/>
    <d v="2024-12-07T00:00:00"/>
    <s v="P003"/>
    <x v="10"/>
    <x v="1"/>
    <n v="16937.37"/>
    <n v="4"/>
    <n v="0"/>
    <n v="67749.48"/>
    <n v="11431.9"/>
  </r>
  <r>
    <s v="O0975"/>
    <x v="471"/>
    <x v="3"/>
    <s v="C071"/>
    <x v="67"/>
    <s v="Pune"/>
    <x v="1"/>
    <d v="2023-04-25T00:00:00"/>
    <s v="P012"/>
    <x v="0"/>
    <x v="0"/>
    <n v="3589.32"/>
    <n v="2"/>
    <n v="0"/>
    <n v="7178.64"/>
    <n v="1964.97"/>
  </r>
  <r>
    <s v="O0976"/>
    <x v="530"/>
    <x v="2"/>
    <s v="C068"/>
    <x v="44"/>
    <s v="Delhi"/>
    <x v="3"/>
    <d v="2024-11-27T00:00:00"/>
    <s v="P008"/>
    <x v="9"/>
    <x v="2"/>
    <n v="31573.59"/>
    <n v="3"/>
    <n v="0"/>
    <n v="94720.77"/>
    <n v="14336.92"/>
  </r>
  <r>
    <s v="O0977"/>
    <x v="78"/>
    <x v="4"/>
    <s v="C016"/>
    <x v="4"/>
    <s v="Noida"/>
    <x v="3"/>
    <d v="2023-12-15T00:00:00"/>
    <s v="P014"/>
    <x v="14"/>
    <x v="0"/>
    <n v="33465.440000000002"/>
    <n v="3"/>
    <n v="0"/>
    <n v="100396.32"/>
    <n v="30405.42"/>
  </r>
  <r>
    <s v="O0978"/>
    <x v="531"/>
    <x v="2"/>
    <s v="C006"/>
    <x v="6"/>
    <s v="Jaipur"/>
    <x v="3"/>
    <d v="2024-03-08T00:00:00"/>
    <s v="P010"/>
    <x v="7"/>
    <x v="2"/>
    <n v="45275.73"/>
    <n v="1"/>
    <n v="0.2"/>
    <n v="36220.58"/>
    <n v="4288.05"/>
  </r>
  <r>
    <s v="O0979"/>
    <x v="471"/>
    <x v="3"/>
    <s v="C035"/>
    <x v="13"/>
    <s v="Pune"/>
    <x v="1"/>
    <d v="2023-12-30T00:00:00"/>
    <s v="P014"/>
    <x v="14"/>
    <x v="0"/>
    <n v="33465.440000000002"/>
    <n v="4"/>
    <n v="0.2"/>
    <n v="107089.41"/>
    <n v="31885.55"/>
  </r>
  <r>
    <s v="O0980"/>
    <x v="276"/>
    <x v="5"/>
    <s v="C053"/>
    <x v="89"/>
    <s v="Kolkata"/>
    <x v="2"/>
    <d v="2024-07-28T00:00:00"/>
    <s v="P003"/>
    <x v="10"/>
    <x v="1"/>
    <n v="16937.37"/>
    <n v="4"/>
    <n v="0.1"/>
    <n v="60974.53"/>
    <n v="14857.45"/>
  </r>
  <r>
    <s v="O0981"/>
    <x v="45"/>
    <x v="9"/>
    <s v="C040"/>
    <x v="63"/>
    <s v="Kolkata"/>
    <x v="2"/>
    <d v="2023-06-17T00:00:00"/>
    <s v="P004"/>
    <x v="8"/>
    <x v="1"/>
    <n v="29436.02"/>
    <n v="4"/>
    <n v="0"/>
    <n v="117744.08"/>
    <n v="38152.6"/>
  </r>
  <r>
    <s v="O0982"/>
    <x v="314"/>
    <x v="7"/>
    <s v="C098"/>
    <x v="51"/>
    <s v="Hyderabad"/>
    <x v="0"/>
    <d v="2024-02-13T00:00:00"/>
    <s v="P004"/>
    <x v="8"/>
    <x v="1"/>
    <n v="29436.02"/>
    <n v="4"/>
    <n v="0.2"/>
    <n v="94195.26"/>
    <n v="19305.36"/>
  </r>
  <r>
    <s v="O0983"/>
    <x v="335"/>
    <x v="6"/>
    <s v="C094"/>
    <x v="78"/>
    <s v="Chennai"/>
    <x v="0"/>
    <d v="2024-09-13T00:00:00"/>
    <s v="P004"/>
    <x v="8"/>
    <x v="1"/>
    <n v="29436.02"/>
    <n v="1"/>
    <n v="0.1"/>
    <n v="26492.42"/>
    <n v="7615.17"/>
  </r>
  <r>
    <s v="O0984"/>
    <x v="315"/>
    <x v="8"/>
    <s v="C015"/>
    <x v="35"/>
    <s v="Delhi"/>
    <x v="3"/>
    <d v="2023-06-13T00:00:00"/>
    <s v="P013"/>
    <x v="3"/>
    <x v="0"/>
    <n v="11938.33"/>
    <n v="3"/>
    <n v="0.15"/>
    <n v="30442.74"/>
    <n v="6150.61"/>
  </r>
  <r>
    <s v="O0985"/>
    <x v="132"/>
    <x v="5"/>
    <s v="C071"/>
    <x v="67"/>
    <s v="Pune"/>
    <x v="1"/>
    <d v="2023-04-25T00:00:00"/>
    <s v="P015"/>
    <x v="6"/>
    <x v="0"/>
    <n v="10751.13"/>
    <n v="5"/>
    <n v="0.1"/>
    <n v="48380.08"/>
    <n v="2839.16"/>
  </r>
  <r>
    <s v="O0986"/>
    <x v="425"/>
    <x v="9"/>
    <s v="C046"/>
    <x v="11"/>
    <s v="Pune"/>
    <x v="1"/>
    <d v="2024-02-15T00:00:00"/>
    <s v="P010"/>
    <x v="7"/>
    <x v="2"/>
    <n v="45275.73"/>
    <n v="2"/>
    <n v="0.2"/>
    <n v="72441.17"/>
    <n v="4874.4399999999996"/>
  </r>
  <r>
    <s v="O0987"/>
    <x v="372"/>
    <x v="4"/>
    <s v="C025"/>
    <x v="82"/>
    <s v="Noida"/>
    <x v="3"/>
    <d v="2023-03-22T00:00:00"/>
    <s v="P009"/>
    <x v="12"/>
    <x v="2"/>
    <n v="11485.64"/>
    <n v="4"/>
    <n v="0"/>
    <n v="45942.559999999998"/>
    <n v="14950.14"/>
  </r>
  <r>
    <s v="O0988"/>
    <x v="80"/>
    <x v="1"/>
    <s v="C024"/>
    <x v="34"/>
    <s v="Chennai"/>
    <x v="0"/>
    <d v="2023-05-08T00:00:00"/>
    <s v="P015"/>
    <x v="6"/>
    <x v="0"/>
    <n v="10751.13"/>
    <n v="2"/>
    <n v="0"/>
    <n v="21502.26"/>
    <n v="3451.23"/>
  </r>
  <r>
    <s v="O0989"/>
    <x v="481"/>
    <x v="8"/>
    <s v="C085"/>
    <x v="2"/>
    <s v="Pune"/>
    <x v="1"/>
    <d v="2023-11-11T00:00:00"/>
    <s v="P012"/>
    <x v="0"/>
    <x v="0"/>
    <n v="3589.32"/>
    <n v="5"/>
    <n v="0.05"/>
    <n v="17049.27"/>
    <n v="4102.45"/>
  </r>
  <r>
    <s v="O0990"/>
    <x v="404"/>
    <x v="0"/>
    <s v="C004"/>
    <x v="17"/>
    <s v="Mumbai"/>
    <x v="1"/>
    <d v="2024-11-23T00:00:00"/>
    <s v="P008"/>
    <x v="9"/>
    <x v="2"/>
    <n v="31573.59"/>
    <n v="1"/>
    <n v="0"/>
    <n v="31573.59"/>
    <n v="5106.71"/>
  </r>
  <r>
    <s v="O0991"/>
    <x v="532"/>
    <x v="1"/>
    <s v="C009"/>
    <x v="30"/>
    <s v="Kolkata"/>
    <x v="2"/>
    <d v="2024-06-01T00:00:00"/>
    <s v="P008"/>
    <x v="9"/>
    <x v="2"/>
    <n v="31573.59"/>
    <n v="4"/>
    <n v="0"/>
    <n v="126294.36"/>
    <n v="42707.21"/>
  </r>
  <r>
    <s v="O0992"/>
    <x v="533"/>
    <x v="11"/>
    <s v="C012"/>
    <x v="31"/>
    <s v="Chennai"/>
    <x v="0"/>
    <d v="2024-03-05T00:00:00"/>
    <s v="P006"/>
    <x v="5"/>
    <x v="2"/>
    <n v="11049.86"/>
    <n v="5"/>
    <n v="0.1"/>
    <n v="49724.37"/>
    <n v="7703.7"/>
  </r>
  <r>
    <s v="O0993"/>
    <x v="212"/>
    <x v="1"/>
    <s v="C019"/>
    <x v="83"/>
    <s v="Mumbai"/>
    <x v="1"/>
    <d v="2023-04-05T00:00:00"/>
    <s v="P015"/>
    <x v="6"/>
    <x v="0"/>
    <n v="10751.13"/>
    <n v="3"/>
    <n v="0.15"/>
    <n v="27415.38"/>
    <n v="8204.36"/>
  </r>
  <r>
    <s v="O0994"/>
    <x v="294"/>
    <x v="11"/>
    <s v="C036"/>
    <x v="12"/>
    <s v="Kolkata"/>
    <x v="2"/>
    <d v="2024-11-17T00:00:00"/>
    <s v="P001"/>
    <x v="2"/>
    <x v="1"/>
    <n v="6094.16"/>
    <n v="3"/>
    <n v="0"/>
    <n v="18282.48"/>
    <n v="3034.34"/>
  </r>
  <r>
    <s v="O0995"/>
    <x v="451"/>
    <x v="0"/>
    <s v="C091"/>
    <x v="16"/>
    <s v="Bengaluru"/>
    <x v="0"/>
    <d v="2024-11-06T00:00:00"/>
    <s v="P010"/>
    <x v="7"/>
    <x v="2"/>
    <n v="45275.73"/>
    <n v="5"/>
    <n v="0.2"/>
    <n v="181102.92"/>
    <n v="61479.96"/>
  </r>
  <r>
    <s v="O0996"/>
    <x v="106"/>
    <x v="3"/>
    <s v="C097"/>
    <x v="84"/>
    <s v="Kolkata"/>
    <x v="2"/>
    <d v="2024-12-31T00:00:00"/>
    <s v="P007"/>
    <x v="4"/>
    <x v="2"/>
    <n v="3596.1"/>
    <n v="2"/>
    <n v="0.15"/>
    <n v="6113.37"/>
    <n v="684.82"/>
  </r>
  <r>
    <s v="O0997"/>
    <x v="200"/>
    <x v="2"/>
    <s v="C065"/>
    <x v="68"/>
    <s v="Noida"/>
    <x v="3"/>
    <d v="2024-09-02T00:00:00"/>
    <s v="P013"/>
    <x v="3"/>
    <x v="0"/>
    <n v="11938.33"/>
    <n v="4"/>
    <n v="0.1"/>
    <n v="42977.99"/>
    <n v="2407.44"/>
  </r>
  <r>
    <s v="O0998"/>
    <x v="282"/>
    <x v="3"/>
    <s v="C030"/>
    <x v="75"/>
    <s v="Kolkata"/>
    <x v="2"/>
    <d v="2023-10-24T00:00:00"/>
    <s v="P009"/>
    <x v="12"/>
    <x v="2"/>
    <n v="11485.64"/>
    <n v="1"/>
    <n v="0.05"/>
    <n v="10911.36"/>
    <n v="3529.33"/>
  </r>
  <r>
    <s v="O0999"/>
    <x v="333"/>
    <x v="0"/>
    <s v="C082"/>
    <x v="64"/>
    <s v="Delhi"/>
    <x v="3"/>
    <d v="2024-09-05T00:00:00"/>
    <s v="P007"/>
    <x v="4"/>
    <x v="2"/>
    <n v="3596.1"/>
    <n v="2"/>
    <n v="0.1"/>
    <n v="6472.98"/>
    <n v="1878.84"/>
  </r>
  <r>
    <s v="O1000"/>
    <x v="461"/>
    <x v="2"/>
    <s v="C015"/>
    <x v="35"/>
    <s v="Delhi"/>
    <x v="3"/>
    <d v="2023-06-13T00:00:00"/>
    <s v="P014"/>
    <x v="14"/>
    <x v="0"/>
    <n v="33465.440000000002"/>
    <n v="3"/>
    <n v="0.1"/>
    <n v="90356.69"/>
    <n v="26341.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58722E-014B-40D1-977C-F4C8D4915E75}" name="KP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5:G6" firstHeaderRow="0" firstDataRow="1" firstDataCol="0"/>
  <pivotFields count="16">
    <pivotField dataField="1" showAll="0"/>
    <pivotField numFmtId="14" showAll="0">
      <items count="535">
        <item x="60"/>
        <item x="13"/>
        <item x="520"/>
        <item x="419"/>
        <item x="480"/>
        <item x="203"/>
        <item x="449"/>
        <item x="388"/>
        <item x="484"/>
        <item x="403"/>
        <item x="420"/>
        <item x="104"/>
        <item x="227"/>
        <item x="111"/>
        <item x="303"/>
        <item x="345"/>
        <item x="237"/>
        <item x="425"/>
        <item x="211"/>
        <item x="493"/>
        <item x="170"/>
        <item x="219"/>
        <item x="304"/>
        <item x="43"/>
        <item x="356"/>
        <item x="275"/>
        <item x="262"/>
        <item x="236"/>
        <item x="447"/>
        <item x="473"/>
        <item x="352"/>
        <item x="37"/>
        <item x="494"/>
        <item x="145"/>
        <item x="341"/>
        <item x="198"/>
        <item x="19"/>
        <item x="505"/>
        <item x="416"/>
        <item x="418"/>
        <item x="17"/>
        <item x="522"/>
        <item x="218"/>
        <item x="396"/>
        <item x="335"/>
        <item x="312"/>
        <item x="20"/>
        <item x="250"/>
        <item x="153"/>
        <item x="157"/>
        <item x="27"/>
        <item x="273"/>
        <item x="417"/>
        <item x="8"/>
        <item x="266"/>
        <item x="263"/>
        <item x="265"/>
        <item x="306"/>
        <item x="161"/>
        <item x="285"/>
        <item x="322"/>
        <item x="100"/>
        <item x="287"/>
        <item x="242"/>
        <item x="122"/>
        <item x="466"/>
        <item x="514"/>
        <item x="380"/>
        <item x="212"/>
        <item x="226"/>
        <item x="129"/>
        <item x="423"/>
        <item x="355"/>
        <item x="196"/>
        <item x="224"/>
        <item x="188"/>
        <item x="292"/>
        <item x="435"/>
        <item x="436"/>
        <item x="517"/>
        <item x="77"/>
        <item x="49"/>
        <item x="376"/>
        <item x="384"/>
        <item x="328"/>
        <item x="109"/>
        <item x="55"/>
        <item x="481"/>
        <item x="63"/>
        <item x="228"/>
        <item x="187"/>
        <item x="42"/>
        <item x="340"/>
        <item x="39"/>
        <item x="26"/>
        <item x="479"/>
        <item x="390"/>
        <item x="33"/>
        <item x="315"/>
        <item x="379"/>
        <item x="462"/>
        <item x="305"/>
        <item x="429"/>
        <item x="351"/>
        <item x="452"/>
        <item x="407"/>
        <item x="349"/>
        <item x="180"/>
        <item x="199"/>
        <item x="72"/>
        <item x="76"/>
        <item x="184"/>
        <item x="307"/>
        <item x="277"/>
        <item x="108"/>
        <item x="221"/>
        <item x="253"/>
        <item x="204"/>
        <item x="325"/>
        <item x="168"/>
        <item x="297"/>
        <item x="294"/>
        <item x="533"/>
        <item x="214"/>
        <item x="476"/>
        <item x="516"/>
        <item x="438"/>
        <item x="343"/>
        <item x="70"/>
        <item x="460"/>
        <item x="368"/>
        <item x="231"/>
        <item x="165"/>
        <item x="120"/>
        <item x="421"/>
        <item x="323"/>
        <item x="249"/>
        <item x="101"/>
        <item x="142"/>
        <item x="521"/>
        <item x="501"/>
        <item x="276"/>
        <item x="402"/>
        <item x="59"/>
        <item x="126"/>
        <item x="132"/>
        <item x="136"/>
        <item x="495"/>
        <item x="155"/>
        <item x="205"/>
        <item x="317"/>
        <item x="366"/>
        <item x="25"/>
        <item x="453"/>
        <item x="367"/>
        <item x="515"/>
        <item x="35"/>
        <item x="102"/>
        <item x="12"/>
        <item x="90"/>
        <item x="16"/>
        <item x="391"/>
        <item x="208"/>
        <item x="451"/>
        <item x="301"/>
        <item x="400"/>
        <item x="333"/>
        <item x="177"/>
        <item x="148"/>
        <item x="52"/>
        <item x="163"/>
        <item x="89"/>
        <item x="456"/>
        <item x="229"/>
        <item x="406"/>
        <item x="21"/>
        <item x="302"/>
        <item x="11"/>
        <item x="232"/>
        <item x="488"/>
        <item x="151"/>
        <item x="311"/>
        <item x="444"/>
        <item x="377"/>
        <item x="130"/>
        <item x="502"/>
        <item x="370"/>
        <item x="107"/>
        <item x="48"/>
        <item x="79"/>
        <item x="298"/>
        <item x="318"/>
        <item x="395"/>
        <item x="110"/>
        <item x="124"/>
        <item x="490"/>
        <item x="330"/>
        <item x="492"/>
        <item x="36"/>
        <item x="56"/>
        <item x="433"/>
        <item x="471"/>
        <item x="504"/>
        <item x="131"/>
        <item x="160"/>
        <item x="255"/>
        <item x="138"/>
        <item x="272"/>
        <item x="38"/>
        <item x="166"/>
        <item x="7"/>
        <item x="222"/>
        <item x="412"/>
        <item x="141"/>
        <item x="319"/>
        <item x="67"/>
        <item x="195"/>
        <item x="169"/>
        <item x="382"/>
        <item x="375"/>
        <item x="178"/>
        <item x="511"/>
        <item x="206"/>
        <item x="371"/>
        <item x="401"/>
        <item x="197"/>
        <item x="531"/>
        <item x="114"/>
        <item x="137"/>
        <item x="530"/>
        <item x="146"/>
        <item x="461"/>
        <item x="389"/>
        <item x="257"/>
        <item x="290"/>
        <item x="487"/>
        <item x="365"/>
        <item x="498"/>
        <item x="454"/>
        <item x="88"/>
        <item x="470"/>
        <item x="162"/>
        <item x="171"/>
        <item x="441"/>
        <item x="499"/>
        <item x="259"/>
        <item x="288"/>
        <item x="387"/>
        <item x="378"/>
        <item x="361"/>
        <item x="47"/>
        <item x="167"/>
        <item x="491"/>
        <item x="123"/>
        <item x="344"/>
        <item x="281"/>
        <item x="5"/>
        <item x="507"/>
        <item x="117"/>
        <item x="278"/>
        <item x="408"/>
        <item x="57"/>
        <item x="430"/>
        <item x="489"/>
        <item x="398"/>
        <item x="105"/>
        <item x="468"/>
        <item x="94"/>
        <item x="324"/>
        <item x="369"/>
        <item x="500"/>
        <item x="472"/>
        <item x="413"/>
        <item x="446"/>
        <item x="434"/>
        <item x="174"/>
        <item x="280"/>
        <item x="213"/>
        <item x="464"/>
        <item x="320"/>
        <item x="41"/>
        <item x="220"/>
        <item x="299"/>
        <item x="243"/>
        <item x="314"/>
        <item x="112"/>
        <item x="251"/>
        <item x="397"/>
        <item x="65"/>
        <item x="239"/>
        <item x="296"/>
        <item x="386"/>
        <item x="274"/>
        <item x="437"/>
        <item x="321"/>
        <item x="459"/>
        <item x="428"/>
        <item x="286"/>
        <item x="399"/>
        <item x="99"/>
        <item x="374"/>
        <item x="439"/>
        <item x="527"/>
        <item x="327"/>
        <item x="53"/>
        <item x="448"/>
        <item x="385"/>
        <item x="405"/>
        <item x="529"/>
        <item x="264"/>
        <item x="66"/>
        <item x="45"/>
        <item x="64"/>
        <item x="518"/>
        <item x="185"/>
        <item x="469"/>
        <item x="46"/>
        <item x="414"/>
        <item x="182"/>
        <item x="394"/>
        <item x="147"/>
        <item x="95"/>
        <item x="92"/>
        <item x="103"/>
        <item x="245"/>
        <item x="254"/>
        <item x="238"/>
        <item x="241"/>
        <item x="475"/>
        <item x="149"/>
        <item x="260"/>
        <item x="422"/>
        <item x="497"/>
        <item x="97"/>
        <item x="509"/>
        <item x="30"/>
        <item x="279"/>
        <item x="465"/>
        <item x="175"/>
        <item x="81"/>
        <item x="223"/>
        <item x="331"/>
        <item x="83"/>
        <item x="234"/>
        <item x="84"/>
        <item x="353"/>
        <item x="235"/>
        <item x="14"/>
        <item x="74"/>
        <item x="189"/>
        <item x="316"/>
        <item x="474"/>
        <item x="51"/>
        <item x="173"/>
        <item x="80"/>
        <item x="350"/>
        <item x="3"/>
        <item x="159"/>
        <item x="271"/>
        <item x="50"/>
        <item x="216"/>
        <item x="1"/>
        <item x="532"/>
        <item x="73"/>
        <item x="128"/>
        <item x="18"/>
        <item x="143"/>
        <item x="336"/>
        <item x="179"/>
        <item x="134"/>
        <item x="86"/>
        <item x="291"/>
        <item x="463"/>
        <item x="127"/>
        <item x="118"/>
        <item x="140"/>
        <item x="144"/>
        <item x="506"/>
        <item x="381"/>
        <item x="513"/>
        <item x="201"/>
        <item x="309"/>
        <item x="524"/>
        <item x="82"/>
        <item x="240"/>
        <item x="29"/>
        <item x="313"/>
        <item x="181"/>
        <item x="360"/>
        <item x="267"/>
        <item x="58"/>
        <item x="172"/>
        <item x="310"/>
        <item x="300"/>
        <item x="339"/>
        <item x="329"/>
        <item x="450"/>
        <item x="528"/>
        <item x="523"/>
        <item x="135"/>
        <item x="233"/>
        <item x="293"/>
        <item x="409"/>
        <item x="6"/>
        <item x="486"/>
        <item x="121"/>
        <item x="10"/>
        <item x="496"/>
        <item x="91"/>
        <item x="503"/>
        <item x="392"/>
        <item x="519"/>
        <item x="9"/>
        <item x="40"/>
        <item x="34"/>
        <item x="32"/>
        <item x="15"/>
        <item x="246"/>
        <item x="283"/>
        <item x="373"/>
        <item x="217"/>
        <item x="244"/>
        <item x="28"/>
        <item x="427"/>
        <item x="24"/>
        <item x="115"/>
        <item x="326"/>
        <item x="252"/>
        <item x="485"/>
        <item x="22"/>
        <item x="0"/>
        <item x="347"/>
        <item x="334"/>
        <item x="337"/>
        <item x="93"/>
        <item x="346"/>
        <item x="270"/>
        <item x="393"/>
        <item x="415"/>
        <item x="183"/>
        <item x="113"/>
        <item x="404"/>
        <item x="158"/>
        <item x="230"/>
        <item x="445"/>
        <item x="258"/>
        <item x="482"/>
        <item x="96"/>
        <item x="357"/>
        <item x="68"/>
        <item x="176"/>
        <item x="150"/>
        <item x="512"/>
        <item x="358"/>
        <item x="458"/>
        <item x="342"/>
        <item x="359"/>
        <item x="194"/>
        <item x="23"/>
        <item x="354"/>
        <item x="295"/>
        <item x="154"/>
        <item x="193"/>
        <item x="210"/>
        <item x="269"/>
        <item x="363"/>
        <item x="467"/>
        <item x="71"/>
        <item x="431"/>
        <item x="119"/>
        <item x="85"/>
        <item x="202"/>
        <item x="308"/>
        <item x="457"/>
        <item x="383"/>
        <item x="338"/>
        <item x="225"/>
        <item x="4"/>
        <item x="282"/>
        <item x="156"/>
        <item x="191"/>
        <item x="440"/>
        <item x="106"/>
        <item x="31"/>
        <item x="190"/>
        <item x="268"/>
        <item x="284"/>
        <item x="2"/>
        <item x="209"/>
        <item x="432"/>
        <item x="116"/>
        <item x="508"/>
        <item x="62"/>
        <item x="44"/>
        <item x="98"/>
        <item x="61"/>
        <item x="411"/>
        <item x="164"/>
        <item x="410"/>
        <item x="192"/>
        <item x="69"/>
        <item x="215"/>
        <item x="525"/>
        <item x="256"/>
        <item x="54"/>
        <item x="478"/>
        <item x="200"/>
        <item x="526"/>
        <item x="289"/>
        <item x="207"/>
        <item x="362"/>
        <item x="348"/>
        <item x="133"/>
        <item x="483"/>
        <item x="424"/>
        <item x="443"/>
        <item x="247"/>
        <item x="78"/>
        <item x="75"/>
        <item x="139"/>
        <item x="477"/>
        <item x="364"/>
        <item x="125"/>
        <item x="248"/>
        <item x="261"/>
        <item x="372"/>
        <item x="186"/>
        <item x="152"/>
        <item x="510"/>
        <item x="442"/>
        <item x="455"/>
        <item x="332"/>
        <item x="426"/>
        <item x="87"/>
        <item t="default"/>
      </items>
    </pivotField>
    <pivotField showAll="0"/>
    <pivotField showAll="0"/>
    <pivotField showAll="0"/>
    <pivotField showAll="0"/>
    <pivotField showAll="0">
      <items count="5">
        <item x="2"/>
        <item x="3"/>
        <item x="0"/>
        <item x="1"/>
        <item t="default"/>
      </items>
    </pivotField>
    <pivotField numFmtId="14" showAll="0"/>
    <pivotField showAll="0"/>
    <pivotField showAll="0"/>
    <pivotField showAll="0">
      <items count="4">
        <item x="1"/>
        <item x="2"/>
        <item x="0"/>
        <item t="default"/>
      </items>
    </pivotField>
    <pivotField showAll="0"/>
    <pivotField showAll="0"/>
    <pivotField showAll="0"/>
    <pivotField dataField="1" showAll="0"/>
    <pivotField dataField="1" showAll="0"/>
  </pivotFields>
  <rowItems count="1">
    <i/>
  </rowItems>
  <colFields count="1">
    <field x="-2"/>
  </colFields>
  <colItems count="3">
    <i>
      <x/>
    </i>
    <i i="1">
      <x v="1"/>
    </i>
    <i i="2">
      <x v="2"/>
    </i>
  </colItems>
  <dataFields count="3">
    <dataField name="Sum of sales" fld="14" baseField="0" baseItem="0" numFmtId="164"/>
    <dataField name="Sum of profit" fld="15" baseField="0" baseItem="0" numFmtId="44"/>
    <dataField name="Count of order_id" fld="0" subtotal="count" baseField="0" baseItem="0"/>
  </dataFields>
  <formats count="7">
    <format dxfId="30">
      <pivotArea type="all" dataOnly="0" outline="0" fieldPosition="0"/>
    </format>
    <format dxfId="29">
      <pivotArea outline="0" collapsedLevelsAreSubtotals="1" fieldPosition="0"/>
    </format>
    <format dxfId="28">
      <pivotArea dataOnly="0" labelOnly="1" outline="0" fieldPosition="0">
        <references count="1">
          <reference field="4294967294" count="3">
            <x v="0"/>
            <x v="1"/>
            <x v="2"/>
          </reference>
        </references>
      </pivotArea>
    </format>
    <format dxfId="27">
      <pivotArea outline="0" collapsedLevelsAreSubtotals="1" fieldPosition="0">
        <references count="1">
          <reference field="4294967294" count="1" selected="0">
            <x v="0"/>
          </reference>
        </references>
      </pivotArea>
    </format>
    <format dxfId="26">
      <pivotArea outline="0" collapsedLevelsAreSubtotals="1" fieldPosition="0">
        <references count="1">
          <reference field="4294967294" count="1" selected="0">
            <x v="1"/>
          </reference>
        </references>
      </pivotArea>
    </format>
    <format dxfId="25">
      <pivotArea outline="0" collapsedLevelsAreSubtotals="1" fieldPosition="0"/>
    </format>
    <format dxfId="2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6396F6-DCCD-4E2A-B641-94608158E7F3}" name="Category-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22:B26" firstHeaderRow="1" firstDataRow="1" firstDataCol="1"/>
  <pivotFields count="16">
    <pivotField showAll="0"/>
    <pivotField numFmtId="14" showAll="0">
      <items count="535">
        <item x="60"/>
        <item x="13"/>
        <item x="520"/>
        <item x="419"/>
        <item x="480"/>
        <item x="203"/>
        <item x="449"/>
        <item x="388"/>
        <item x="484"/>
        <item x="403"/>
        <item x="420"/>
        <item x="104"/>
        <item x="227"/>
        <item x="111"/>
        <item x="303"/>
        <item x="345"/>
        <item x="237"/>
        <item x="425"/>
        <item x="211"/>
        <item x="493"/>
        <item x="170"/>
        <item x="219"/>
        <item x="304"/>
        <item x="43"/>
        <item x="356"/>
        <item x="275"/>
        <item x="262"/>
        <item x="236"/>
        <item x="447"/>
        <item x="473"/>
        <item x="352"/>
        <item x="37"/>
        <item x="494"/>
        <item x="145"/>
        <item x="341"/>
        <item x="198"/>
        <item x="19"/>
        <item x="505"/>
        <item x="416"/>
        <item x="418"/>
        <item x="17"/>
        <item x="522"/>
        <item x="218"/>
        <item x="396"/>
        <item x="335"/>
        <item x="312"/>
        <item x="20"/>
        <item x="250"/>
        <item x="153"/>
        <item x="157"/>
        <item x="27"/>
        <item x="273"/>
        <item x="417"/>
        <item x="8"/>
        <item x="266"/>
        <item x="263"/>
        <item x="265"/>
        <item x="306"/>
        <item x="161"/>
        <item x="285"/>
        <item x="322"/>
        <item x="100"/>
        <item x="287"/>
        <item x="242"/>
        <item x="122"/>
        <item x="466"/>
        <item x="514"/>
        <item x="380"/>
        <item x="212"/>
        <item x="226"/>
        <item x="129"/>
        <item x="423"/>
        <item x="355"/>
        <item x="196"/>
        <item x="224"/>
        <item x="188"/>
        <item x="292"/>
        <item x="435"/>
        <item x="436"/>
        <item x="517"/>
        <item x="77"/>
        <item x="49"/>
        <item x="376"/>
        <item x="384"/>
        <item x="328"/>
        <item x="109"/>
        <item x="55"/>
        <item x="481"/>
        <item x="63"/>
        <item x="228"/>
        <item x="187"/>
        <item x="42"/>
        <item x="340"/>
        <item x="39"/>
        <item x="26"/>
        <item x="479"/>
        <item x="390"/>
        <item x="33"/>
        <item x="315"/>
        <item x="379"/>
        <item x="462"/>
        <item x="305"/>
        <item x="429"/>
        <item x="351"/>
        <item x="452"/>
        <item x="407"/>
        <item x="349"/>
        <item x="180"/>
        <item x="199"/>
        <item x="72"/>
        <item x="76"/>
        <item x="184"/>
        <item x="307"/>
        <item x="277"/>
        <item x="108"/>
        <item x="221"/>
        <item x="253"/>
        <item x="204"/>
        <item x="325"/>
        <item x="168"/>
        <item x="297"/>
        <item x="294"/>
        <item x="533"/>
        <item x="214"/>
        <item x="476"/>
        <item x="516"/>
        <item x="438"/>
        <item x="343"/>
        <item x="70"/>
        <item x="460"/>
        <item x="368"/>
        <item x="231"/>
        <item x="165"/>
        <item x="120"/>
        <item x="421"/>
        <item x="323"/>
        <item x="249"/>
        <item x="101"/>
        <item x="142"/>
        <item x="521"/>
        <item x="501"/>
        <item x="276"/>
        <item x="402"/>
        <item x="59"/>
        <item x="126"/>
        <item x="132"/>
        <item x="136"/>
        <item x="495"/>
        <item x="155"/>
        <item x="205"/>
        <item x="317"/>
        <item x="366"/>
        <item x="25"/>
        <item x="453"/>
        <item x="367"/>
        <item x="515"/>
        <item x="35"/>
        <item x="102"/>
        <item x="12"/>
        <item x="90"/>
        <item x="16"/>
        <item x="391"/>
        <item x="208"/>
        <item x="451"/>
        <item x="301"/>
        <item x="400"/>
        <item x="333"/>
        <item x="177"/>
        <item x="148"/>
        <item x="52"/>
        <item x="163"/>
        <item x="89"/>
        <item x="456"/>
        <item x="229"/>
        <item x="406"/>
        <item x="21"/>
        <item x="302"/>
        <item x="11"/>
        <item x="232"/>
        <item x="488"/>
        <item x="151"/>
        <item x="311"/>
        <item x="444"/>
        <item x="377"/>
        <item x="130"/>
        <item x="502"/>
        <item x="370"/>
        <item x="107"/>
        <item x="48"/>
        <item x="79"/>
        <item x="298"/>
        <item x="318"/>
        <item x="395"/>
        <item x="110"/>
        <item x="124"/>
        <item x="490"/>
        <item x="330"/>
        <item x="492"/>
        <item x="36"/>
        <item x="56"/>
        <item x="433"/>
        <item x="471"/>
        <item x="504"/>
        <item x="131"/>
        <item x="160"/>
        <item x="255"/>
        <item x="138"/>
        <item x="272"/>
        <item x="38"/>
        <item x="166"/>
        <item x="7"/>
        <item x="222"/>
        <item x="412"/>
        <item x="141"/>
        <item x="319"/>
        <item x="67"/>
        <item x="195"/>
        <item x="169"/>
        <item x="382"/>
        <item x="375"/>
        <item x="178"/>
        <item x="511"/>
        <item x="206"/>
        <item x="371"/>
        <item x="401"/>
        <item x="197"/>
        <item x="531"/>
        <item x="114"/>
        <item x="137"/>
        <item x="530"/>
        <item x="146"/>
        <item x="461"/>
        <item x="389"/>
        <item x="257"/>
        <item x="290"/>
        <item x="487"/>
        <item x="365"/>
        <item x="498"/>
        <item x="454"/>
        <item x="88"/>
        <item x="470"/>
        <item x="162"/>
        <item x="171"/>
        <item x="441"/>
        <item x="499"/>
        <item x="259"/>
        <item x="288"/>
        <item x="387"/>
        <item x="378"/>
        <item x="361"/>
        <item x="47"/>
        <item x="167"/>
        <item x="491"/>
        <item x="123"/>
        <item x="344"/>
        <item x="281"/>
        <item x="5"/>
        <item x="507"/>
        <item x="117"/>
        <item x="278"/>
        <item x="408"/>
        <item x="57"/>
        <item x="430"/>
        <item x="489"/>
        <item x="398"/>
        <item x="105"/>
        <item x="468"/>
        <item x="94"/>
        <item x="324"/>
        <item x="369"/>
        <item x="500"/>
        <item x="472"/>
        <item x="413"/>
        <item x="446"/>
        <item x="434"/>
        <item x="174"/>
        <item x="280"/>
        <item x="213"/>
        <item x="464"/>
        <item x="320"/>
        <item x="41"/>
        <item x="220"/>
        <item x="299"/>
        <item x="243"/>
        <item x="314"/>
        <item x="112"/>
        <item x="251"/>
        <item x="397"/>
        <item x="65"/>
        <item x="239"/>
        <item x="296"/>
        <item x="386"/>
        <item x="274"/>
        <item x="437"/>
        <item x="321"/>
        <item x="459"/>
        <item x="428"/>
        <item x="286"/>
        <item x="399"/>
        <item x="99"/>
        <item x="374"/>
        <item x="439"/>
        <item x="527"/>
        <item x="327"/>
        <item x="53"/>
        <item x="448"/>
        <item x="385"/>
        <item x="405"/>
        <item x="529"/>
        <item x="264"/>
        <item x="66"/>
        <item x="45"/>
        <item x="64"/>
        <item x="518"/>
        <item x="185"/>
        <item x="469"/>
        <item x="46"/>
        <item x="414"/>
        <item x="182"/>
        <item x="394"/>
        <item x="147"/>
        <item x="95"/>
        <item x="92"/>
        <item x="103"/>
        <item x="245"/>
        <item x="254"/>
        <item x="238"/>
        <item x="241"/>
        <item x="475"/>
        <item x="149"/>
        <item x="260"/>
        <item x="422"/>
        <item x="497"/>
        <item x="97"/>
        <item x="509"/>
        <item x="30"/>
        <item x="279"/>
        <item x="465"/>
        <item x="175"/>
        <item x="81"/>
        <item x="223"/>
        <item x="331"/>
        <item x="83"/>
        <item x="234"/>
        <item x="84"/>
        <item x="353"/>
        <item x="235"/>
        <item x="14"/>
        <item x="74"/>
        <item x="189"/>
        <item x="316"/>
        <item x="474"/>
        <item x="51"/>
        <item x="173"/>
        <item x="80"/>
        <item x="350"/>
        <item x="3"/>
        <item x="159"/>
        <item x="271"/>
        <item x="50"/>
        <item x="216"/>
        <item x="1"/>
        <item x="532"/>
        <item x="73"/>
        <item x="128"/>
        <item x="18"/>
        <item x="143"/>
        <item x="336"/>
        <item x="179"/>
        <item x="134"/>
        <item x="86"/>
        <item x="291"/>
        <item x="463"/>
        <item x="127"/>
        <item x="118"/>
        <item x="140"/>
        <item x="144"/>
        <item x="506"/>
        <item x="381"/>
        <item x="513"/>
        <item x="201"/>
        <item x="309"/>
        <item x="524"/>
        <item x="82"/>
        <item x="240"/>
        <item x="29"/>
        <item x="313"/>
        <item x="181"/>
        <item x="360"/>
        <item x="267"/>
        <item x="58"/>
        <item x="172"/>
        <item x="310"/>
        <item x="300"/>
        <item x="339"/>
        <item x="329"/>
        <item x="450"/>
        <item x="528"/>
        <item x="523"/>
        <item x="135"/>
        <item x="233"/>
        <item x="293"/>
        <item x="409"/>
        <item x="6"/>
        <item x="486"/>
        <item x="121"/>
        <item x="10"/>
        <item x="496"/>
        <item x="91"/>
        <item x="503"/>
        <item x="392"/>
        <item x="519"/>
        <item x="9"/>
        <item x="40"/>
        <item x="34"/>
        <item x="32"/>
        <item x="15"/>
        <item x="246"/>
        <item x="283"/>
        <item x="373"/>
        <item x="217"/>
        <item x="244"/>
        <item x="28"/>
        <item x="427"/>
        <item x="24"/>
        <item x="115"/>
        <item x="326"/>
        <item x="252"/>
        <item x="485"/>
        <item x="22"/>
        <item x="0"/>
        <item x="347"/>
        <item x="334"/>
        <item x="337"/>
        <item x="93"/>
        <item x="346"/>
        <item x="270"/>
        <item x="393"/>
        <item x="415"/>
        <item x="183"/>
        <item x="113"/>
        <item x="404"/>
        <item x="158"/>
        <item x="230"/>
        <item x="445"/>
        <item x="258"/>
        <item x="482"/>
        <item x="96"/>
        <item x="357"/>
        <item x="68"/>
        <item x="176"/>
        <item x="150"/>
        <item x="512"/>
        <item x="358"/>
        <item x="458"/>
        <item x="342"/>
        <item x="359"/>
        <item x="194"/>
        <item x="23"/>
        <item x="354"/>
        <item x="295"/>
        <item x="154"/>
        <item x="193"/>
        <item x="210"/>
        <item x="269"/>
        <item x="363"/>
        <item x="467"/>
        <item x="71"/>
        <item x="431"/>
        <item x="119"/>
        <item x="85"/>
        <item x="202"/>
        <item x="308"/>
        <item x="457"/>
        <item x="383"/>
        <item x="338"/>
        <item x="225"/>
        <item x="4"/>
        <item x="282"/>
        <item x="156"/>
        <item x="191"/>
        <item x="440"/>
        <item x="106"/>
        <item x="31"/>
        <item x="190"/>
        <item x="268"/>
        <item x="284"/>
        <item x="2"/>
        <item x="209"/>
        <item x="432"/>
        <item x="116"/>
        <item x="508"/>
        <item x="62"/>
        <item x="44"/>
        <item x="98"/>
        <item x="61"/>
        <item x="411"/>
        <item x="164"/>
        <item x="410"/>
        <item x="192"/>
        <item x="69"/>
        <item x="215"/>
        <item x="525"/>
        <item x="256"/>
        <item x="54"/>
        <item x="478"/>
        <item x="200"/>
        <item x="526"/>
        <item x="289"/>
        <item x="207"/>
        <item x="362"/>
        <item x="348"/>
        <item x="133"/>
        <item x="483"/>
        <item x="424"/>
        <item x="443"/>
        <item x="247"/>
        <item x="78"/>
        <item x="75"/>
        <item x="139"/>
        <item x="477"/>
        <item x="364"/>
        <item x="125"/>
        <item x="248"/>
        <item x="261"/>
        <item x="372"/>
        <item x="186"/>
        <item x="152"/>
        <item x="510"/>
        <item x="442"/>
        <item x="455"/>
        <item x="332"/>
        <item x="426"/>
        <item x="87"/>
        <item t="default"/>
      </items>
    </pivotField>
    <pivotField showAll="0" sortType="ascending">
      <items count="24">
        <item m="1" x="19"/>
        <item m="1" x="20"/>
        <item m="1" x="18"/>
        <item m="1" x="13"/>
        <item x="7"/>
        <item x="9"/>
        <item x="6"/>
        <item x="1"/>
        <item x="8"/>
        <item m="1" x="22"/>
        <item x="11"/>
        <item m="1" x="17"/>
        <item m="1" x="12"/>
        <item m="1" x="21"/>
        <item m="1" x="15"/>
        <item m="1" x="14"/>
        <item m="1" x="16"/>
        <item x="5"/>
        <item x="0"/>
        <item x="10"/>
        <item x="3"/>
        <item x="2"/>
        <item x="4"/>
        <item t="default"/>
      </items>
    </pivotField>
    <pivotField showAll="0"/>
    <pivotField showAll="0"/>
    <pivotField showAll="0"/>
    <pivotField showAll="0">
      <items count="5">
        <item x="2"/>
        <item x="3"/>
        <item x="0"/>
        <item x="1"/>
        <item t="default"/>
      </items>
    </pivotField>
    <pivotField numFmtId="14"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10"/>
  </rowFields>
  <rowItems count="4">
    <i>
      <x v="1"/>
    </i>
    <i>
      <x v="2"/>
    </i>
    <i>
      <x/>
    </i>
    <i t="grand">
      <x/>
    </i>
  </rowItems>
  <colItems count="1">
    <i/>
  </colItems>
  <dataFields count="1">
    <dataField name="Sum of sales" fld="14" baseField="0" baseItem="0" numFmtId="166"/>
  </dataFields>
  <formats count="1">
    <format dxfId="18">
      <pivotArea outline="0" collapsedLevelsAreSubtotals="1" fieldPosition="0"/>
    </format>
  </formats>
  <chartFormats count="5">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0CE09-99F3-4915-BDBF-4C85F9E7F8C4}" name="Monthly Sales 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B16" firstHeaderRow="1" firstDataRow="1" firstDataCol="1"/>
  <pivotFields count="16">
    <pivotField showAll="0"/>
    <pivotField numFmtId="14" showAll="0">
      <items count="535">
        <item x="60"/>
        <item x="13"/>
        <item x="520"/>
        <item x="419"/>
        <item x="480"/>
        <item x="203"/>
        <item x="449"/>
        <item x="388"/>
        <item x="484"/>
        <item x="403"/>
        <item x="420"/>
        <item x="104"/>
        <item x="227"/>
        <item x="111"/>
        <item x="303"/>
        <item x="345"/>
        <item x="237"/>
        <item x="425"/>
        <item x="211"/>
        <item x="493"/>
        <item x="170"/>
        <item x="219"/>
        <item x="304"/>
        <item x="43"/>
        <item x="356"/>
        <item x="275"/>
        <item x="262"/>
        <item x="236"/>
        <item x="447"/>
        <item x="473"/>
        <item x="352"/>
        <item x="37"/>
        <item x="494"/>
        <item x="145"/>
        <item x="341"/>
        <item x="198"/>
        <item x="19"/>
        <item x="505"/>
        <item x="416"/>
        <item x="418"/>
        <item x="17"/>
        <item x="522"/>
        <item x="218"/>
        <item x="396"/>
        <item x="335"/>
        <item x="312"/>
        <item x="20"/>
        <item x="250"/>
        <item x="153"/>
        <item x="157"/>
        <item x="27"/>
        <item x="273"/>
        <item x="417"/>
        <item x="8"/>
        <item x="266"/>
        <item x="263"/>
        <item x="265"/>
        <item x="306"/>
        <item x="161"/>
        <item x="285"/>
        <item x="322"/>
        <item x="100"/>
        <item x="287"/>
        <item x="242"/>
        <item x="122"/>
        <item x="466"/>
        <item x="514"/>
        <item x="380"/>
        <item x="212"/>
        <item x="226"/>
        <item x="129"/>
        <item x="423"/>
        <item x="355"/>
        <item x="196"/>
        <item x="224"/>
        <item x="188"/>
        <item x="292"/>
        <item x="435"/>
        <item x="436"/>
        <item x="517"/>
        <item x="77"/>
        <item x="49"/>
        <item x="376"/>
        <item x="384"/>
        <item x="328"/>
        <item x="109"/>
        <item x="55"/>
        <item x="481"/>
        <item x="63"/>
        <item x="228"/>
        <item x="187"/>
        <item x="42"/>
        <item x="340"/>
        <item x="39"/>
        <item x="26"/>
        <item x="479"/>
        <item x="390"/>
        <item x="33"/>
        <item x="315"/>
        <item x="379"/>
        <item x="462"/>
        <item x="305"/>
        <item x="429"/>
        <item x="351"/>
        <item x="452"/>
        <item x="407"/>
        <item x="349"/>
        <item x="180"/>
        <item x="199"/>
        <item x="72"/>
        <item x="76"/>
        <item x="184"/>
        <item x="307"/>
        <item x="277"/>
        <item x="108"/>
        <item x="221"/>
        <item x="253"/>
        <item x="204"/>
        <item x="325"/>
        <item x="168"/>
        <item x="297"/>
        <item x="294"/>
        <item x="533"/>
        <item x="214"/>
        <item x="476"/>
        <item x="516"/>
        <item x="438"/>
        <item x="343"/>
        <item x="70"/>
        <item x="460"/>
        <item x="368"/>
        <item x="231"/>
        <item x="165"/>
        <item x="120"/>
        <item x="421"/>
        <item x="323"/>
        <item x="249"/>
        <item x="101"/>
        <item x="142"/>
        <item x="521"/>
        <item x="501"/>
        <item x="276"/>
        <item x="402"/>
        <item x="59"/>
        <item x="126"/>
        <item x="132"/>
        <item x="136"/>
        <item x="495"/>
        <item x="155"/>
        <item x="205"/>
        <item x="317"/>
        <item x="366"/>
        <item x="25"/>
        <item x="453"/>
        <item x="367"/>
        <item x="515"/>
        <item x="35"/>
        <item x="102"/>
        <item x="12"/>
        <item x="90"/>
        <item x="16"/>
        <item x="391"/>
        <item x="208"/>
        <item x="451"/>
        <item x="301"/>
        <item x="400"/>
        <item x="333"/>
        <item x="177"/>
        <item x="148"/>
        <item x="52"/>
        <item x="163"/>
        <item x="89"/>
        <item x="456"/>
        <item x="229"/>
        <item x="406"/>
        <item x="21"/>
        <item x="302"/>
        <item x="11"/>
        <item x="232"/>
        <item x="488"/>
        <item x="151"/>
        <item x="311"/>
        <item x="444"/>
        <item x="377"/>
        <item x="130"/>
        <item x="502"/>
        <item x="370"/>
        <item x="107"/>
        <item x="48"/>
        <item x="79"/>
        <item x="298"/>
        <item x="318"/>
        <item x="395"/>
        <item x="110"/>
        <item x="124"/>
        <item x="490"/>
        <item x="330"/>
        <item x="492"/>
        <item x="36"/>
        <item x="56"/>
        <item x="433"/>
        <item x="471"/>
        <item x="504"/>
        <item x="131"/>
        <item x="160"/>
        <item x="255"/>
        <item x="138"/>
        <item x="272"/>
        <item x="38"/>
        <item x="166"/>
        <item x="7"/>
        <item x="222"/>
        <item x="412"/>
        <item x="141"/>
        <item x="319"/>
        <item x="67"/>
        <item x="195"/>
        <item x="169"/>
        <item x="382"/>
        <item x="375"/>
        <item x="178"/>
        <item x="511"/>
        <item x="206"/>
        <item x="371"/>
        <item x="401"/>
        <item x="197"/>
        <item x="531"/>
        <item x="114"/>
        <item x="137"/>
        <item x="530"/>
        <item x="146"/>
        <item x="461"/>
        <item x="389"/>
        <item x="257"/>
        <item x="290"/>
        <item x="487"/>
        <item x="365"/>
        <item x="498"/>
        <item x="454"/>
        <item x="88"/>
        <item x="470"/>
        <item x="162"/>
        <item x="171"/>
        <item x="441"/>
        <item x="499"/>
        <item x="259"/>
        <item x="288"/>
        <item x="387"/>
        <item x="378"/>
        <item x="361"/>
        <item x="47"/>
        <item x="167"/>
        <item x="491"/>
        <item x="123"/>
        <item x="344"/>
        <item x="281"/>
        <item x="5"/>
        <item x="507"/>
        <item x="117"/>
        <item x="278"/>
        <item x="408"/>
        <item x="57"/>
        <item x="430"/>
        <item x="489"/>
        <item x="398"/>
        <item x="105"/>
        <item x="468"/>
        <item x="94"/>
        <item x="324"/>
        <item x="369"/>
        <item x="500"/>
        <item x="472"/>
        <item x="413"/>
        <item x="446"/>
        <item x="434"/>
        <item x="174"/>
        <item x="280"/>
        <item x="213"/>
        <item x="464"/>
        <item x="320"/>
        <item x="41"/>
        <item x="220"/>
        <item x="299"/>
        <item x="243"/>
        <item x="314"/>
        <item x="112"/>
        <item x="251"/>
        <item x="397"/>
        <item x="65"/>
        <item x="239"/>
        <item x="296"/>
        <item x="386"/>
        <item x="274"/>
        <item x="437"/>
        <item x="321"/>
        <item x="459"/>
        <item x="428"/>
        <item x="286"/>
        <item x="399"/>
        <item x="99"/>
        <item x="374"/>
        <item x="439"/>
        <item x="527"/>
        <item x="327"/>
        <item x="53"/>
        <item x="448"/>
        <item x="385"/>
        <item x="405"/>
        <item x="529"/>
        <item x="264"/>
        <item x="66"/>
        <item x="45"/>
        <item x="64"/>
        <item x="518"/>
        <item x="185"/>
        <item x="469"/>
        <item x="46"/>
        <item x="414"/>
        <item x="182"/>
        <item x="394"/>
        <item x="147"/>
        <item x="95"/>
        <item x="92"/>
        <item x="103"/>
        <item x="245"/>
        <item x="254"/>
        <item x="238"/>
        <item x="241"/>
        <item x="475"/>
        <item x="149"/>
        <item x="260"/>
        <item x="422"/>
        <item x="497"/>
        <item x="97"/>
        <item x="509"/>
        <item x="30"/>
        <item x="279"/>
        <item x="465"/>
        <item x="175"/>
        <item x="81"/>
        <item x="223"/>
        <item x="331"/>
        <item x="83"/>
        <item x="234"/>
        <item x="84"/>
        <item x="353"/>
        <item x="235"/>
        <item x="14"/>
        <item x="74"/>
        <item x="189"/>
        <item x="316"/>
        <item x="474"/>
        <item x="51"/>
        <item x="173"/>
        <item x="80"/>
        <item x="350"/>
        <item x="3"/>
        <item x="159"/>
        <item x="271"/>
        <item x="50"/>
        <item x="216"/>
        <item x="1"/>
        <item x="532"/>
        <item x="73"/>
        <item x="128"/>
        <item x="18"/>
        <item x="143"/>
        <item x="336"/>
        <item x="179"/>
        <item x="134"/>
        <item x="86"/>
        <item x="291"/>
        <item x="463"/>
        <item x="127"/>
        <item x="118"/>
        <item x="140"/>
        <item x="144"/>
        <item x="506"/>
        <item x="381"/>
        <item x="513"/>
        <item x="201"/>
        <item x="309"/>
        <item x="524"/>
        <item x="82"/>
        <item x="240"/>
        <item x="29"/>
        <item x="313"/>
        <item x="181"/>
        <item x="360"/>
        <item x="267"/>
        <item x="58"/>
        <item x="172"/>
        <item x="310"/>
        <item x="300"/>
        <item x="339"/>
        <item x="329"/>
        <item x="450"/>
        <item x="528"/>
        <item x="523"/>
        <item x="135"/>
        <item x="233"/>
        <item x="293"/>
        <item x="409"/>
        <item x="6"/>
        <item x="486"/>
        <item x="121"/>
        <item x="10"/>
        <item x="496"/>
        <item x="91"/>
        <item x="503"/>
        <item x="392"/>
        <item x="519"/>
        <item x="9"/>
        <item x="40"/>
        <item x="34"/>
        <item x="32"/>
        <item x="15"/>
        <item x="246"/>
        <item x="283"/>
        <item x="373"/>
        <item x="217"/>
        <item x="244"/>
        <item x="28"/>
        <item x="427"/>
        <item x="24"/>
        <item x="115"/>
        <item x="326"/>
        <item x="252"/>
        <item x="485"/>
        <item x="22"/>
        <item x="0"/>
        <item x="347"/>
        <item x="334"/>
        <item x="337"/>
        <item x="93"/>
        <item x="346"/>
        <item x="270"/>
        <item x="393"/>
        <item x="415"/>
        <item x="183"/>
        <item x="113"/>
        <item x="404"/>
        <item x="158"/>
        <item x="230"/>
        <item x="445"/>
        <item x="258"/>
        <item x="482"/>
        <item x="96"/>
        <item x="357"/>
        <item x="68"/>
        <item x="176"/>
        <item x="150"/>
        <item x="512"/>
        <item x="358"/>
        <item x="458"/>
        <item x="342"/>
        <item x="359"/>
        <item x="194"/>
        <item x="23"/>
        <item x="354"/>
        <item x="295"/>
        <item x="154"/>
        <item x="193"/>
        <item x="210"/>
        <item x="269"/>
        <item x="363"/>
        <item x="467"/>
        <item x="71"/>
        <item x="431"/>
        <item x="119"/>
        <item x="85"/>
        <item x="202"/>
        <item x="308"/>
        <item x="457"/>
        <item x="383"/>
        <item x="338"/>
        <item x="225"/>
        <item x="4"/>
        <item x="282"/>
        <item x="156"/>
        <item x="191"/>
        <item x="440"/>
        <item x="106"/>
        <item x="31"/>
        <item x="190"/>
        <item x="268"/>
        <item x="284"/>
        <item x="2"/>
        <item x="209"/>
        <item x="432"/>
        <item x="116"/>
        <item x="508"/>
        <item x="62"/>
        <item x="44"/>
        <item x="98"/>
        <item x="61"/>
        <item x="411"/>
        <item x="164"/>
        <item x="410"/>
        <item x="192"/>
        <item x="69"/>
        <item x="215"/>
        <item x="525"/>
        <item x="256"/>
        <item x="54"/>
        <item x="478"/>
        <item x="200"/>
        <item x="526"/>
        <item x="289"/>
        <item x="207"/>
        <item x="362"/>
        <item x="348"/>
        <item x="133"/>
        <item x="483"/>
        <item x="424"/>
        <item x="443"/>
        <item x="247"/>
        <item x="78"/>
        <item x="75"/>
        <item x="139"/>
        <item x="477"/>
        <item x="364"/>
        <item x="125"/>
        <item x="248"/>
        <item x="261"/>
        <item x="372"/>
        <item x="186"/>
        <item x="152"/>
        <item x="510"/>
        <item x="442"/>
        <item x="455"/>
        <item x="332"/>
        <item x="426"/>
        <item x="87"/>
        <item t="default"/>
      </items>
    </pivotField>
    <pivotField axis="axisRow" showAll="0" sortType="ascending">
      <items count="24">
        <item x="7"/>
        <item x="9"/>
        <item x="6"/>
        <item x="1"/>
        <item m="1" x="19"/>
        <item m="1" x="20"/>
        <item m="1" x="18"/>
        <item m="1" x="13"/>
        <item x="8"/>
        <item x="11"/>
        <item m="1" x="22"/>
        <item x="5"/>
        <item x="0"/>
        <item x="10"/>
        <item x="3"/>
        <item x="2"/>
        <item x="4"/>
        <item m="1" x="17"/>
        <item m="1" x="12"/>
        <item m="1" x="21"/>
        <item m="1" x="15"/>
        <item m="1" x="14"/>
        <item m="1" x="16"/>
        <item t="default"/>
      </items>
    </pivotField>
    <pivotField showAll="0"/>
    <pivotField showAll="0"/>
    <pivotField showAll="0"/>
    <pivotField showAll="0">
      <items count="5">
        <item x="2"/>
        <item x="3"/>
        <item x="0"/>
        <item x="1"/>
        <item t="default"/>
      </items>
    </pivotField>
    <pivotField numFmtId="14" showAll="0"/>
    <pivotField showAll="0"/>
    <pivotField showAll="0"/>
    <pivotField showAll="0">
      <items count="4">
        <item x="1"/>
        <item x="2"/>
        <item x="0"/>
        <item t="default"/>
      </items>
    </pivotField>
    <pivotField showAll="0"/>
    <pivotField showAll="0"/>
    <pivotField showAll="0"/>
    <pivotField dataField="1" showAll="0"/>
    <pivotField showAll="0"/>
  </pivotFields>
  <rowFields count="1">
    <field x="2"/>
  </rowFields>
  <rowItems count="13">
    <i>
      <x/>
    </i>
    <i>
      <x v="1"/>
    </i>
    <i>
      <x v="2"/>
    </i>
    <i>
      <x v="3"/>
    </i>
    <i>
      <x v="8"/>
    </i>
    <i>
      <x v="9"/>
    </i>
    <i>
      <x v="11"/>
    </i>
    <i>
      <x v="12"/>
    </i>
    <i>
      <x v="13"/>
    </i>
    <i>
      <x v="14"/>
    </i>
    <i>
      <x v="15"/>
    </i>
    <i>
      <x v="16"/>
    </i>
    <i t="grand">
      <x/>
    </i>
  </rowItems>
  <colItems count="1">
    <i/>
  </colItems>
  <dataFields count="1">
    <dataField name="Sum of sales" fld="14" baseField="0" baseItem="0" numFmtId="166"/>
  </dataFields>
  <formats count="2">
    <format dxfId="20">
      <pivotArea collapsedLevelsAreSubtotals="1" fieldPosition="0">
        <references count="1">
          <reference field="2" count="1">
            <x v="0"/>
          </reference>
        </references>
      </pivotArea>
    </format>
    <format dxfId="19">
      <pivotArea outline="0" collapsedLevelsAreSubtotals="1" fieldPosition="0"/>
    </format>
  </formats>
  <chartFormats count="3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3"/>
          </reference>
        </references>
      </pivotArea>
    </chartFormat>
    <chartFormat chart="8" format="4">
      <pivotArea type="data" outline="0" fieldPosition="0">
        <references count="2">
          <reference field="4294967294" count="1" selected="0">
            <x v="0"/>
          </reference>
          <reference field="2" count="1" selected="0">
            <x v="8"/>
          </reference>
        </references>
      </pivotArea>
    </chartFormat>
    <chartFormat chart="8" format="5">
      <pivotArea type="data" outline="0" fieldPosition="0">
        <references count="2">
          <reference field="4294967294" count="1" selected="0">
            <x v="0"/>
          </reference>
          <reference field="2" count="1" selected="0">
            <x v="11"/>
          </reference>
        </references>
      </pivotArea>
    </chartFormat>
    <chartFormat chart="8" format="6">
      <pivotArea type="data" outline="0" fieldPosition="0">
        <references count="2">
          <reference field="4294967294" count="1" selected="0">
            <x v="0"/>
          </reference>
          <reference field="2" count="1" selected="0">
            <x v="12"/>
          </reference>
        </references>
      </pivotArea>
    </chartFormat>
    <chartFormat chart="8" format="7">
      <pivotArea type="data" outline="0" fieldPosition="0">
        <references count="2">
          <reference field="4294967294" count="1" selected="0">
            <x v="0"/>
          </reference>
          <reference field="2" count="1" selected="0">
            <x v="14"/>
          </reference>
        </references>
      </pivotArea>
    </chartFormat>
    <chartFormat chart="8" format="8">
      <pivotArea type="data" outline="0" fieldPosition="0">
        <references count="2">
          <reference field="4294967294" count="1" selected="0">
            <x v="0"/>
          </reference>
          <reference field="2" count="1" selected="0">
            <x v="15"/>
          </reference>
        </references>
      </pivotArea>
    </chartFormat>
    <chartFormat chart="8" format="9">
      <pivotArea type="data" outline="0" fieldPosition="0">
        <references count="2">
          <reference field="4294967294" count="1" selected="0">
            <x v="0"/>
          </reference>
          <reference field="2" count="1" selected="0">
            <x v="9"/>
          </reference>
        </references>
      </pivotArea>
    </chartFormat>
    <chartFormat chart="8" format="10">
      <pivotArea type="data" outline="0" fieldPosition="0">
        <references count="2">
          <reference field="4294967294" count="1" selected="0">
            <x v="0"/>
          </reference>
          <reference field="2" count="1" selected="0">
            <x v="1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2" count="1" selected="0">
            <x v="13"/>
          </reference>
        </references>
      </pivotArea>
    </chartFormat>
    <chartFormat chart="12" format="2">
      <pivotArea type="data" outline="0" fieldPosition="0">
        <references count="2">
          <reference field="4294967294" count="1" selected="0">
            <x v="0"/>
          </reference>
          <reference field="2" count="1" selected="0">
            <x v="2"/>
          </reference>
        </references>
      </pivotArea>
    </chartFormat>
    <chartFormat chart="12" format="3">
      <pivotArea type="data" outline="0" fieldPosition="0">
        <references count="2">
          <reference field="4294967294" count="1" selected="0">
            <x v="0"/>
          </reference>
          <reference field="2" count="1" selected="0">
            <x v="1"/>
          </reference>
        </references>
      </pivotArea>
    </chartFormat>
    <chartFormat chart="12" format="4">
      <pivotArea type="data" outline="0" fieldPosition="0">
        <references count="2">
          <reference field="4294967294" count="1" selected="0">
            <x v="0"/>
          </reference>
          <reference field="2" count="1" selected="0">
            <x v="3"/>
          </reference>
        </references>
      </pivotArea>
    </chartFormat>
    <chartFormat chart="12" format="5">
      <pivotArea type="data" outline="0" fieldPosition="0">
        <references count="2">
          <reference field="4294967294" count="1" selected="0">
            <x v="0"/>
          </reference>
          <reference field="2" count="1" selected="0">
            <x v="8"/>
          </reference>
        </references>
      </pivotArea>
    </chartFormat>
    <chartFormat chart="12" format="6">
      <pivotArea type="data" outline="0" fieldPosition="0">
        <references count="2">
          <reference field="4294967294" count="1" selected="0">
            <x v="0"/>
          </reference>
          <reference field="2" count="1" selected="0">
            <x v="9"/>
          </reference>
        </references>
      </pivotArea>
    </chartFormat>
    <chartFormat chart="12" format="7">
      <pivotArea type="data" outline="0" fieldPosition="0">
        <references count="2">
          <reference field="4294967294" count="1" selected="0">
            <x v="0"/>
          </reference>
          <reference field="2" count="1" selected="0">
            <x v="15"/>
          </reference>
        </references>
      </pivotArea>
    </chartFormat>
    <chartFormat chart="12" format="8">
      <pivotArea type="data" outline="0" fieldPosition="0">
        <references count="2">
          <reference field="4294967294" count="1" selected="0">
            <x v="0"/>
          </reference>
          <reference field="2" count="1" selected="0">
            <x v="16"/>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2" count="1" selected="0">
            <x v="1"/>
          </reference>
        </references>
      </pivotArea>
    </chartFormat>
    <chartFormat chart="16" format="19">
      <pivotArea type="data" outline="0" fieldPosition="0">
        <references count="2">
          <reference field="4294967294" count="1" selected="0">
            <x v="0"/>
          </reference>
          <reference field="2" count="1" selected="0">
            <x v="2"/>
          </reference>
        </references>
      </pivotArea>
    </chartFormat>
    <chartFormat chart="16" format="20">
      <pivotArea type="data" outline="0" fieldPosition="0">
        <references count="2">
          <reference field="4294967294" count="1" selected="0">
            <x v="0"/>
          </reference>
          <reference field="2" count="1" selected="0">
            <x v="3"/>
          </reference>
        </references>
      </pivotArea>
    </chartFormat>
    <chartFormat chart="16" format="21">
      <pivotArea type="data" outline="0" fieldPosition="0">
        <references count="2">
          <reference field="4294967294" count="1" selected="0">
            <x v="0"/>
          </reference>
          <reference field="2" count="1" selected="0">
            <x v="8"/>
          </reference>
        </references>
      </pivotArea>
    </chartFormat>
    <chartFormat chart="16" format="22">
      <pivotArea type="data" outline="0" fieldPosition="0">
        <references count="2">
          <reference field="4294967294" count="1" selected="0">
            <x v="0"/>
          </reference>
          <reference field="2" count="1" selected="0">
            <x v="9"/>
          </reference>
        </references>
      </pivotArea>
    </chartFormat>
    <chartFormat chart="16" format="23">
      <pivotArea type="data" outline="0" fieldPosition="0">
        <references count="2">
          <reference field="4294967294" count="1" selected="0">
            <x v="0"/>
          </reference>
          <reference field="2" count="1" selected="0">
            <x v="15"/>
          </reference>
        </references>
      </pivotArea>
    </chartFormat>
    <chartFormat chart="16" format="24">
      <pivotArea type="data" outline="0" fieldPosition="0">
        <references count="2">
          <reference field="4294967294" count="1" selected="0">
            <x v="0"/>
          </reference>
          <reference field="2" count="1" selected="0">
            <x v="16"/>
          </reference>
        </references>
      </pivotArea>
    </chartFormat>
    <chartFormat chart="16" format="25">
      <pivotArea type="data" outline="0" fieldPosition="0">
        <references count="2">
          <reference field="4294967294" count="1" selected="0">
            <x v="0"/>
          </reference>
          <reference field="2" count="1" selected="0">
            <x v="11"/>
          </reference>
        </references>
      </pivotArea>
    </chartFormat>
    <chartFormat chart="16" format="26">
      <pivotArea type="data" outline="0" fieldPosition="0">
        <references count="2">
          <reference field="4294967294" count="1" selected="0">
            <x v="0"/>
          </reference>
          <reference field="2" count="1" selected="0">
            <x v="12"/>
          </reference>
        </references>
      </pivotArea>
    </chartFormat>
    <chartFormat chart="16" format="27">
      <pivotArea type="data" outline="0" fieldPosition="0">
        <references count="2">
          <reference field="4294967294" count="1" selected="0">
            <x v="0"/>
          </reference>
          <reference field="2" count="1" selected="0">
            <x v="13"/>
          </reference>
        </references>
      </pivotArea>
    </chartFormat>
    <chartFormat chart="16" format="28">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7436F5-5223-4D48-8DF5-547BB07545A5}" name="Top 10 Cusomers by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A37:B48" firstHeaderRow="1" firstDataRow="1" firstDataCol="1"/>
  <pivotFields count="16">
    <pivotField showAll="0"/>
    <pivotField numFmtId="14" showAll="0">
      <items count="535">
        <item x="60"/>
        <item x="13"/>
        <item x="520"/>
        <item x="419"/>
        <item x="480"/>
        <item x="203"/>
        <item x="449"/>
        <item x="388"/>
        <item x="484"/>
        <item x="403"/>
        <item x="420"/>
        <item x="104"/>
        <item x="227"/>
        <item x="111"/>
        <item x="303"/>
        <item x="345"/>
        <item x="237"/>
        <item x="425"/>
        <item x="211"/>
        <item x="493"/>
        <item x="170"/>
        <item x="219"/>
        <item x="304"/>
        <item x="43"/>
        <item x="356"/>
        <item x="275"/>
        <item x="262"/>
        <item x="236"/>
        <item x="447"/>
        <item x="473"/>
        <item x="352"/>
        <item x="37"/>
        <item x="494"/>
        <item x="145"/>
        <item x="341"/>
        <item x="198"/>
        <item x="19"/>
        <item x="505"/>
        <item x="416"/>
        <item x="418"/>
        <item x="17"/>
        <item x="522"/>
        <item x="218"/>
        <item x="396"/>
        <item x="335"/>
        <item x="312"/>
        <item x="20"/>
        <item x="250"/>
        <item x="153"/>
        <item x="157"/>
        <item x="27"/>
        <item x="273"/>
        <item x="417"/>
        <item x="8"/>
        <item x="266"/>
        <item x="263"/>
        <item x="265"/>
        <item x="306"/>
        <item x="161"/>
        <item x="285"/>
        <item x="322"/>
        <item x="100"/>
        <item x="287"/>
        <item x="242"/>
        <item x="122"/>
        <item x="466"/>
        <item x="514"/>
        <item x="380"/>
        <item x="212"/>
        <item x="226"/>
        <item x="129"/>
        <item x="423"/>
        <item x="355"/>
        <item x="196"/>
        <item x="224"/>
        <item x="188"/>
        <item x="292"/>
        <item x="435"/>
        <item x="436"/>
        <item x="517"/>
        <item x="77"/>
        <item x="49"/>
        <item x="376"/>
        <item x="384"/>
        <item x="328"/>
        <item x="109"/>
        <item x="55"/>
        <item x="481"/>
        <item x="63"/>
        <item x="228"/>
        <item x="187"/>
        <item x="42"/>
        <item x="340"/>
        <item x="39"/>
        <item x="26"/>
        <item x="479"/>
        <item x="390"/>
        <item x="33"/>
        <item x="315"/>
        <item x="379"/>
        <item x="462"/>
        <item x="305"/>
        <item x="429"/>
        <item x="351"/>
        <item x="452"/>
        <item x="407"/>
        <item x="349"/>
        <item x="180"/>
        <item x="199"/>
        <item x="72"/>
        <item x="76"/>
        <item x="184"/>
        <item x="307"/>
        <item x="277"/>
        <item x="108"/>
        <item x="221"/>
        <item x="253"/>
        <item x="204"/>
        <item x="325"/>
        <item x="168"/>
        <item x="297"/>
        <item x="294"/>
        <item x="533"/>
        <item x="214"/>
        <item x="476"/>
        <item x="516"/>
        <item x="438"/>
        <item x="343"/>
        <item x="70"/>
        <item x="460"/>
        <item x="368"/>
        <item x="231"/>
        <item x="165"/>
        <item x="120"/>
        <item x="421"/>
        <item x="323"/>
        <item x="249"/>
        <item x="101"/>
        <item x="142"/>
        <item x="521"/>
        <item x="501"/>
        <item x="276"/>
        <item x="402"/>
        <item x="59"/>
        <item x="126"/>
        <item x="132"/>
        <item x="136"/>
        <item x="495"/>
        <item x="155"/>
        <item x="205"/>
        <item x="317"/>
        <item x="366"/>
        <item x="25"/>
        <item x="453"/>
        <item x="367"/>
        <item x="515"/>
        <item x="35"/>
        <item x="102"/>
        <item x="12"/>
        <item x="90"/>
        <item x="16"/>
        <item x="391"/>
        <item x="208"/>
        <item x="451"/>
        <item x="301"/>
        <item x="400"/>
        <item x="333"/>
        <item x="177"/>
        <item x="148"/>
        <item x="52"/>
        <item x="163"/>
        <item x="89"/>
        <item x="456"/>
        <item x="229"/>
        <item x="406"/>
        <item x="21"/>
        <item x="302"/>
        <item x="11"/>
        <item x="232"/>
        <item x="488"/>
        <item x="151"/>
        <item x="311"/>
        <item x="444"/>
        <item x="377"/>
        <item x="130"/>
        <item x="502"/>
        <item x="370"/>
        <item x="107"/>
        <item x="48"/>
        <item x="79"/>
        <item x="298"/>
        <item x="318"/>
        <item x="395"/>
        <item x="110"/>
        <item x="124"/>
        <item x="490"/>
        <item x="330"/>
        <item x="492"/>
        <item x="36"/>
        <item x="56"/>
        <item x="433"/>
        <item x="471"/>
        <item x="504"/>
        <item x="131"/>
        <item x="160"/>
        <item x="255"/>
        <item x="138"/>
        <item x="272"/>
        <item x="38"/>
        <item x="166"/>
        <item x="7"/>
        <item x="222"/>
        <item x="412"/>
        <item x="141"/>
        <item x="319"/>
        <item x="67"/>
        <item x="195"/>
        <item x="169"/>
        <item x="382"/>
        <item x="375"/>
        <item x="178"/>
        <item x="511"/>
        <item x="206"/>
        <item x="371"/>
        <item x="401"/>
        <item x="197"/>
        <item x="531"/>
        <item x="114"/>
        <item x="137"/>
        <item x="530"/>
        <item x="146"/>
        <item x="461"/>
        <item x="389"/>
        <item x="257"/>
        <item x="290"/>
        <item x="487"/>
        <item x="365"/>
        <item x="498"/>
        <item x="454"/>
        <item x="88"/>
        <item x="470"/>
        <item x="162"/>
        <item x="171"/>
        <item x="441"/>
        <item x="499"/>
        <item x="259"/>
        <item x="288"/>
        <item x="387"/>
        <item x="378"/>
        <item x="361"/>
        <item x="47"/>
        <item x="167"/>
        <item x="491"/>
        <item x="123"/>
        <item x="344"/>
        <item x="281"/>
        <item x="5"/>
        <item x="507"/>
        <item x="117"/>
        <item x="278"/>
        <item x="408"/>
        <item x="57"/>
        <item x="430"/>
        <item x="489"/>
        <item x="398"/>
        <item x="105"/>
        <item x="468"/>
        <item x="94"/>
        <item x="324"/>
        <item x="369"/>
        <item x="500"/>
        <item x="472"/>
        <item x="413"/>
        <item x="446"/>
        <item x="434"/>
        <item x="174"/>
        <item x="280"/>
        <item x="213"/>
        <item x="464"/>
        <item x="320"/>
        <item x="41"/>
        <item x="220"/>
        <item x="299"/>
        <item x="243"/>
        <item x="314"/>
        <item x="112"/>
        <item x="251"/>
        <item x="397"/>
        <item x="65"/>
        <item x="239"/>
        <item x="296"/>
        <item x="386"/>
        <item x="274"/>
        <item x="437"/>
        <item x="321"/>
        <item x="459"/>
        <item x="428"/>
        <item x="286"/>
        <item x="399"/>
        <item x="99"/>
        <item x="374"/>
        <item x="439"/>
        <item x="527"/>
        <item x="327"/>
        <item x="53"/>
        <item x="448"/>
        <item x="385"/>
        <item x="405"/>
        <item x="529"/>
        <item x="264"/>
        <item x="66"/>
        <item x="45"/>
        <item x="64"/>
        <item x="518"/>
        <item x="185"/>
        <item x="469"/>
        <item x="46"/>
        <item x="414"/>
        <item x="182"/>
        <item x="394"/>
        <item x="147"/>
        <item x="95"/>
        <item x="92"/>
        <item x="103"/>
        <item x="245"/>
        <item x="254"/>
        <item x="238"/>
        <item x="241"/>
        <item x="475"/>
        <item x="149"/>
        <item x="260"/>
        <item x="422"/>
        <item x="497"/>
        <item x="97"/>
        <item x="509"/>
        <item x="30"/>
        <item x="279"/>
        <item x="465"/>
        <item x="175"/>
        <item x="81"/>
        <item x="223"/>
        <item x="331"/>
        <item x="83"/>
        <item x="234"/>
        <item x="84"/>
        <item x="353"/>
        <item x="235"/>
        <item x="14"/>
        <item x="74"/>
        <item x="189"/>
        <item x="316"/>
        <item x="474"/>
        <item x="51"/>
        <item x="173"/>
        <item x="80"/>
        <item x="350"/>
        <item x="3"/>
        <item x="159"/>
        <item x="271"/>
        <item x="50"/>
        <item x="216"/>
        <item x="1"/>
        <item x="532"/>
        <item x="73"/>
        <item x="128"/>
        <item x="18"/>
        <item x="143"/>
        <item x="336"/>
        <item x="179"/>
        <item x="134"/>
        <item x="86"/>
        <item x="291"/>
        <item x="463"/>
        <item x="127"/>
        <item x="118"/>
        <item x="140"/>
        <item x="144"/>
        <item x="506"/>
        <item x="381"/>
        <item x="513"/>
        <item x="201"/>
        <item x="309"/>
        <item x="524"/>
        <item x="82"/>
        <item x="240"/>
        <item x="29"/>
        <item x="313"/>
        <item x="181"/>
        <item x="360"/>
        <item x="267"/>
        <item x="58"/>
        <item x="172"/>
        <item x="310"/>
        <item x="300"/>
        <item x="339"/>
        <item x="329"/>
        <item x="450"/>
        <item x="528"/>
        <item x="523"/>
        <item x="135"/>
        <item x="233"/>
        <item x="293"/>
        <item x="409"/>
        <item x="6"/>
        <item x="486"/>
        <item x="121"/>
        <item x="10"/>
        <item x="496"/>
        <item x="91"/>
        <item x="503"/>
        <item x="392"/>
        <item x="519"/>
        <item x="9"/>
        <item x="40"/>
        <item x="34"/>
        <item x="32"/>
        <item x="15"/>
        <item x="246"/>
        <item x="283"/>
        <item x="373"/>
        <item x="217"/>
        <item x="244"/>
        <item x="28"/>
        <item x="427"/>
        <item x="24"/>
        <item x="115"/>
        <item x="326"/>
        <item x="252"/>
        <item x="485"/>
        <item x="22"/>
        <item x="0"/>
        <item x="347"/>
        <item x="334"/>
        <item x="337"/>
        <item x="93"/>
        <item x="346"/>
        <item x="270"/>
        <item x="393"/>
        <item x="415"/>
        <item x="183"/>
        <item x="113"/>
        <item x="404"/>
        <item x="158"/>
        <item x="230"/>
        <item x="445"/>
        <item x="258"/>
        <item x="482"/>
        <item x="96"/>
        <item x="357"/>
        <item x="68"/>
        <item x="176"/>
        <item x="150"/>
        <item x="512"/>
        <item x="358"/>
        <item x="458"/>
        <item x="342"/>
        <item x="359"/>
        <item x="194"/>
        <item x="23"/>
        <item x="354"/>
        <item x="295"/>
        <item x="154"/>
        <item x="193"/>
        <item x="210"/>
        <item x="269"/>
        <item x="363"/>
        <item x="467"/>
        <item x="71"/>
        <item x="431"/>
        <item x="119"/>
        <item x="85"/>
        <item x="202"/>
        <item x="308"/>
        <item x="457"/>
        <item x="383"/>
        <item x="338"/>
        <item x="225"/>
        <item x="4"/>
        <item x="282"/>
        <item x="156"/>
        <item x="191"/>
        <item x="440"/>
        <item x="106"/>
        <item x="31"/>
        <item x="190"/>
        <item x="268"/>
        <item x="284"/>
        <item x="2"/>
        <item x="209"/>
        <item x="432"/>
        <item x="116"/>
        <item x="508"/>
        <item x="62"/>
        <item x="44"/>
        <item x="98"/>
        <item x="61"/>
        <item x="411"/>
        <item x="164"/>
        <item x="410"/>
        <item x="192"/>
        <item x="69"/>
        <item x="215"/>
        <item x="525"/>
        <item x="256"/>
        <item x="54"/>
        <item x="478"/>
        <item x="200"/>
        <item x="526"/>
        <item x="289"/>
        <item x="207"/>
        <item x="362"/>
        <item x="348"/>
        <item x="133"/>
        <item x="483"/>
        <item x="424"/>
        <item x="443"/>
        <item x="247"/>
        <item x="78"/>
        <item x="75"/>
        <item x="139"/>
        <item x="477"/>
        <item x="364"/>
        <item x="125"/>
        <item x="248"/>
        <item x="261"/>
        <item x="372"/>
        <item x="186"/>
        <item x="152"/>
        <item x="510"/>
        <item x="442"/>
        <item x="455"/>
        <item x="332"/>
        <item x="426"/>
        <item x="87"/>
        <item t="default"/>
      </items>
    </pivotField>
    <pivotField showAll="0" sortType="ascending">
      <items count="24">
        <item x="7"/>
        <item x="9"/>
        <item x="6"/>
        <item x="1"/>
        <item m="1" x="19"/>
        <item m="1" x="20"/>
        <item m="1" x="18"/>
        <item m="1" x="13"/>
        <item x="8"/>
        <item x="11"/>
        <item m="1" x="22"/>
        <item x="5"/>
        <item x="0"/>
        <item x="10"/>
        <item x="3"/>
        <item x="2"/>
        <item x="4"/>
        <item m="1" x="17"/>
        <item m="1" x="12"/>
        <item m="1" x="21"/>
        <item m="1" x="15"/>
        <item m="1" x="14"/>
        <item m="1" x="16"/>
        <item t="default"/>
      </items>
    </pivotField>
    <pivotField showAll="0"/>
    <pivotField axis="axisRow" showAll="0" measureFilter="1" sortType="ascending">
      <items count="101">
        <item x="55"/>
        <item x="40"/>
        <item x="8"/>
        <item x="39"/>
        <item x="31"/>
        <item x="71"/>
        <item x="62"/>
        <item x="35"/>
        <item x="4"/>
        <item x="72"/>
        <item x="53"/>
        <item x="83"/>
        <item x="52"/>
        <item x="33"/>
        <item x="29"/>
        <item x="59"/>
        <item x="79"/>
        <item x="34"/>
        <item x="82"/>
        <item x="37"/>
        <item x="49"/>
        <item x="23"/>
        <item x="85"/>
        <item x="26"/>
        <item x="75"/>
        <item x="54"/>
        <item x="43"/>
        <item x="99"/>
        <item x="46"/>
        <item x="13"/>
        <item x="12"/>
        <item x="1"/>
        <item x="58"/>
        <item x="32"/>
        <item x="17"/>
        <item x="63"/>
        <item x="41"/>
        <item x="77"/>
        <item x="65"/>
        <item x="15"/>
        <item x="42"/>
        <item x="11"/>
        <item x="10"/>
        <item x="88"/>
        <item x="24"/>
        <item x="19"/>
        <item x="93"/>
        <item x="90"/>
        <item x="18"/>
        <item x="89"/>
        <item x="5"/>
        <item x="38"/>
        <item x="9"/>
        <item x="61"/>
        <item x="28"/>
        <item x="14"/>
        <item x="6"/>
        <item x="74"/>
        <item x="36"/>
        <item x="50"/>
        <item x="21"/>
        <item x="60"/>
        <item x="68"/>
        <item x="25"/>
        <item x="47"/>
        <item x="44"/>
        <item x="94"/>
        <item x="56"/>
        <item x="92"/>
        <item x="67"/>
        <item x="0"/>
        <item x="73"/>
        <item x="20"/>
        <item x="96"/>
        <item x="91"/>
        <item x="87"/>
        <item x="69"/>
        <item x="66"/>
        <item x="48"/>
        <item x="80"/>
        <item x="98"/>
        <item x="64"/>
        <item x="95"/>
        <item x="57"/>
        <item x="2"/>
        <item x="3"/>
        <item x="45"/>
        <item x="7"/>
        <item x="76"/>
        <item x="30"/>
        <item x="27"/>
        <item x="16"/>
        <item x="22"/>
        <item x="86"/>
        <item x="78"/>
        <item x="97"/>
        <item x="81"/>
        <item x="84"/>
        <item x="51"/>
        <item x="70"/>
        <item t="default"/>
      </items>
      <autoSortScope>
        <pivotArea dataOnly="0" outline="0" fieldPosition="0">
          <references count="1">
            <reference field="4294967294" count="1" selected="0">
              <x v="0"/>
            </reference>
          </references>
        </pivotArea>
      </autoSortScope>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numFmtId="14" showAll="0"/>
    <pivotField showAll="0"/>
    <pivotField showAll="0" measureFilter="1" sortType="ascending">
      <items count="16">
        <item x="9"/>
        <item x="5"/>
        <item x="4"/>
        <item x="6"/>
        <item x="1"/>
        <item x="8"/>
        <item x="2"/>
        <item x="13"/>
        <item x="10"/>
        <item x="11"/>
        <item x="0"/>
        <item x="3"/>
        <item x="12"/>
        <item x="14"/>
        <item x="7"/>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dataField="1" showAll="0"/>
    <pivotField showAll="0"/>
  </pivotFields>
  <rowFields count="1">
    <field x="4"/>
  </rowFields>
  <rowItems count="11">
    <i>
      <x v="47"/>
    </i>
    <i>
      <x v="7"/>
    </i>
    <i>
      <x v="34"/>
    </i>
    <i>
      <x v="83"/>
    </i>
    <i>
      <x v="84"/>
    </i>
    <i>
      <x v="8"/>
    </i>
    <i>
      <x v="35"/>
    </i>
    <i>
      <x v="40"/>
    </i>
    <i>
      <x v="63"/>
    </i>
    <i>
      <x v="19"/>
    </i>
    <i t="grand">
      <x/>
    </i>
  </rowItems>
  <colItems count="1">
    <i/>
  </colItems>
  <dataFields count="1">
    <dataField name="Sum of sales" fld="14" baseField="0" baseItem="0" numFmtId="166"/>
  </dataFields>
  <formats count="1">
    <format dxfId="21">
      <pivotArea outline="0" collapsedLevelsAreSubtotals="1" fieldPosition="0"/>
    </format>
  </formats>
  <chartFormats count="14">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3" iMeasureFld="0">
      <autoFilter ref="A1">
        <filterColumn colId="0">
          <top10 val="10" filterVal="10"/>
        </filterColumn>
      </autoFilter>
    </filter>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E3CD68-40E3-43DB-B9BD-82C6A9367C2E}" name="Top 10 Best Selling 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N20:O31" firstHeaderRow="1" firstDataRow="1" firstDataCol="1"/>
  <pivotFields count="16">
    <pivotField showAll="0"/>
    <pivotField numFmtId="14" showAll="0">
      <items count="535">
        <item x="60"/>
        <item x="13"/>
        <item x="520"/>
        <item x="419"/>
        <item x="480"/>
        <item x="203"/>
        <item x="449"/>
        <item x="388"/>
        <item x="484"/>
        <item x="403"/>
        <item x="420"/>
        <item x="104"/>
        <item x="227"/>
        <item x="111"/>
        <item x="303"/>
        <item x="345"/>
        <item x="237"/>
        <item x="425"/>
        <item x="211"/>
        <item x="493"/>
        <item x="170"/>
        <item x="219"/>
        <item x="304"/>
        <item x="43"/>
        <item x="356"/>
        <item x="275"/>
        <item x="262"/>
        <item x="236"/>
        <item x="447"/>
        <item x="473"/>
        <item x="352"/>
        <item x="37"/>
        <item x="494"/>
        <item x="145"/>
        <item x="341"/>
        <item x="198"/>
        <item x="19"/>
        <item x="505"/>
        <item x="416"/>
        <item x="418"/>
        <item x="17"/>
        <item x="522"/>
        <item x="218"/>
        <item x="396"/>
        <item x="335"/>
        <item x="312"/>
        <item x="20"/>
        <item x="250"/>
        <item x="153"/>
        <item x="157"/>
        <item x="27"/>
        <item x="273"/>
        <item x="417"/>
        <item x="8"/>
        <item x="266"/>
        <item x="263"/>
        <item x="265"/>
        <item x="306"/>
        <item x="161"/>
        <item x="285"/>
        <item x="322"/>
        <item x="100"/>
        <item x="287"/>
        <item x="242"/>
        <item x="122"/>
        <item x="466"/>
        <item x="514"/>
        <item x="380"/>
        <item x="212"/>
        <item x="226"/>
        <item x="129"/>
        <item x="423"/>
        <item x="355"/>
        <item x="196"/>
        <item x="224"/>
        <item x="188"/>
        <item x="292"/>
        <item x="435"/>
        <item x="436"/>
        <item x="517"/>
        <item x="77"/>
        <item x="49"/>
        <item x="376"/>
        <item x="384"/>
        <item x="328"/>
        <item x="109"/>
        <item x="55"/>
        <item x="481"/>
        <item x="63"/>
        <item x="228"/>
        <item x="187"/>
        <item x="42"/>
        <item x="340"/>
        <item x="39"/>
        <item x="26"/>
        <item x="479"/>
        <item x="390"/>
        <item x="33"/>
        <item x="315"/>
        <item x="379"/>
        <item x="462"/>
        <item x="305"/>
        <item x="429"/>
        <item x="351"/>
        <item x="452"/>
        <item x="407"/>
        <item x="349"/>
        <item x="180"/>
        <item x="199"/>
        <item x="72"/>
        <item x="76"/>
        <item x="184"/>
        <item x="307"/>
        <item x="277"/>
        <item x="108"/>
        <item x="221"/>
        <item x="253"/>
        <item x="204"/>
        <item x="325"/>
        <item x="168"/>
        <item x="297"/>
        <item x="294"/>
        <item x="533"/>
        <item x="214"/>
        <item x="476"/>
        <item x="516"/>
        <item x="438"/>
        <item x="343"/>
        <item x="70"/>
        <item x="460"/>
        <item x="368"/>
        <item x="231"/>
        <item x="165"/>
        <item x="120"/>
        <item x="421"/>
        <item x="323"/>
        <item x="249"/>
        <item x="101"/>
        <item x="142"/>
        <item x="521"/>
        <item x="501"/>
        <item x="276"/>
        <item x="402"/>
        <item x="59"/>
        <item x="126"/>
        <item x="132"/>
        <item x="136"/>
        <item x="495"/>
        <item x="155"/>
        <item x="205"/>
        <item x="317"/>
        <item x="366"/>
        <item x="25"/>
        <item x="453"/>
        <item x="367"/>
        <item x="515"/>
        <item x="35"/>
        <item x="102"/>
        <item x="12"/>
        <item x="90"/>
        <item x="16"/>
        <item x="391"/>
        <item x="208"/>
        <item x="451"/>
        <item x="301"/>
        <item x="400"/>
        <item x="333"/>
        <item x="177"/>
        <item x="148"/>
        <item x="52"/>
        <item x="163"/>
        <item x="89"/>
        <item x="456"/>
        <item x="229"/>
        <item x="406"/>
        <item x="21"/>
        <item x="302"/>
        <item x="11"/>
        <item x="232"/>
        <item x="488"/>
        <item x="151"/>
        <item x="311"/>
        <item x="444"/>
        <item x="377"/>
        <item x="130"/>
        <item x="502"/>
        <item x="370"/>
        <item x="107"/>
        <item x="48"/>
        <item x="79"/>
        <item x="298"/>
        <item x="318"/>
        <item x="395"/>
        <item x="110"/>
        <item x="124"/>
        <item x="490"/>
        <item x="330"/>
        <item x="492"/>
        <item x="36"/>
        <item x="56"/>
        <item x="433"/>
        <item x="471"/>
        <item x="504"/>
        <item x="131"/>
        <item x="160"/>
        <item x="255"/>
        <item x="138"/>
        <item x="272"/>
        <item x="38"/>
        <item x="166"/>
        <item x="7"/>
        <item x="222"/>
        <item x="412"/>
        <item x="141"/>
        <item x="319"/>
        <item x="67"/>
        <item x="195"/>
        <item x="169"/>
        <item x="382"/>
        <item x="375"/>
        <item x="178"/>
        <item x="511"/>
        <item x="206"/>
        <item x="371"/>
        <item x="401"/>
        <item x="197"/>
        <item x="531"/>
        <item x="114"/>
        <item x="137"/>
        <item x="530"/>
        <item x="146"/>
        <item x="461"/>
        <item x="389"/>
        <item x="257"/>
        <item x="290"/>
        <item x="487"/>
        <item x="365"/>
        <item x="498"/>
        <item x="454"/>
        <item x="88"/>
        <item x="470"/>
        <item x="162"/>
        <item x="171"/>
        <item x="441"/>
        <item x="499"/>
        <item x="259"/>
        <item x="288"/>
        <item x="387"/>
        <item x="378"/>
        <item x="361"/>
        <item x="47"/>
        <item x="167"/>
        <item x="491"/>
        <item x="123"/>
        <item x="344"/>
        <item x="281"/>
        <item x="5"/>
        <item x="507"/>
        <item x="117"/>
        <item x="278"/>
        <item x="408"/>
        <item x="57"/>
        <item x="430"/>
        <item x="489"/>
        <item x="398"/>
        <item x="105"/>
        <item x="468"/>
        <item x="94"/>
        <item x="324"/>
        <item x="369"/>
        <item x="500"/>
        <item x="472"/>
        <item x="413"/>
        <item x="446"/>
        <item x="434"/>
        <item x="174"/>
        <item x="280"/>
        <item x="213"/>
        <item x="464"/>
        <item x="320"/>
        <item x="41"/>
        <item x="220"/>
        <item x="299"/>
        <item x="243"/>
        <item x="314"/>
        <item x="112"/>
        <item x="251"/>
        <item x="397"/>
        <item x="65"/>
        <item x="239"/>
        <item x="296"/>
        <item x="386"/>
        <item x="274"/>
        <item x="437"/>
        <item x="321"/>
        <item x="459"/>
        <item x="428"/>
        <item x="286"/>
        <item x="399"/>
        <item x="99"/>
        <item x="374"/>
        <item x="439"/>
        <item x="527"/>
        <item x="327"/>
        <item x="53"/>
        <item x="448"/>
        <item x="385"/>
        <item x="405"/>
        <item x="529"/>
        <item x="264"/>
        <item x="66"/>
        <item x="45"/>
        <item x="64"/>
        <item x="518"/>
        <item x="185"/>
        <item x="469"/>
        <item x="46"/>
        <item x="414"/>
        <item x="182"/>
        <item x="394"/>
        <item x="147"/>
        <item x="95"/>
        <item x="92"/>
        <item x="103"/>
        <item x="245"/>
        <item x="254"/>
        <item x="238"/>
        <item x="241"/>
        <item x="475"/>
        <item x="149"/>
        <item x="260"/>
        <item x="422"/>
        <item x="497"/>
        <item x="97"/>
        <item x="509"/>
        <item x="30"/>
        <item x="279"/>
        <item x="465"/>
        <item x="175"/>
        <item x="81"/>
        <item x="223"/>
        <item x="331"/>
        <item x="83"/>
        <item x="234"/>
        <item x="84"/>
        <item x="353"/>
        <item x="235"/>
        <item x="14"/>
        <item x="74"/>
        <item x="189"/>
        <item x="316"/>
        <item x="474"/>
        <item x="51"/>
        <item x="173"/>
        <item x="80"/>
        <item x="350"/>
        <item x="3"/>
        <item x="159"/>
        <item x="271"/>
        <item x="50"/>
        <item x="216"/>
        <item x="1"/>
        <item x="532"/>
        <item x="73"/>
        <item x="128"/>
        <item x="18"/>
        <item x="143"/>
        <item x="336"/>
        <item x="179"/>
        <item x="134"/>
        <item x="86"/>
        <item x="291"/>
        <item x="463"/>
        <item x="127"/>
        <item x="118"/>
        <item x="140"/>
        <item x="144"/>
        <item x="506"/>
        <item x="381"/>
        <item x="513"/>
        <item x="201"/>
        <item x="309"/>
        <item x="524"/>
        <item x="82"/>
        <item x="240"/>
        <item x="29"/>
        <item x="313"/>
        <item x="181"/>
        <item x="360"/>
        <item x="267"/>
        <item x="58"/>
        <item x="172"/>
        <item x="310"/>
        <item x="300"/>
        <item x="339"/>
        <item x="329"/>
        <item x="450"/>
        <item x="528"/>
        <item x="523"/>
        <item x="135"/>
        <item x="233"/>
        <item x="293"/>
        <item x="409"/>
        <item x="6"/>
        <item x="486"/>
        <item x="121"/>
        <item x="10"/>
        <item x="496"/>
        <item x="91"/>
        <item x="503"/>
        <item x="392"/>
        <item x="519"/>
        <item x="9"/>
        <item x="40"/>
        <item x="34"/>
        <item x="32"/>
        <item x="15"/>
        <item x="246"/>
        <item x="283"/>
        <item x="373"/>
        <item x="217"/>
        <item x="244"/>
        <item x="28"/>
        <item x="427"/>
        <item x="24"/>
        <item x="115"/>
        <item x="326"/>
        <item x="252"/>
        <item x="485"/>
        <item x="22"/>
        <item x="0"/>
        <item x="347"/>
        <item x="334"/>
        <item x="337"/>
        <item x="93"/>
        <item x="346"/>
        <item x="270"/>
        <item x="393"/>
        <item x="415"/>
        <item x="183"/>
        <item x="113"/>
        <item x="404"/>
        <item x="158"/>
        <item x="230"/>
        <item x="445"/>
        <item x="258"/>
        <item x="482"/>
        <item x="96"/>
        <item x="357"/>
        <item x="68"/>
        <item x="176"/>
        <item x="150"/>
        <item x="512"/>
        <item x="358"/>
        <item x="458"/>
        <item x="342"/>
        <item x="359"/>
        <item x="194"/>
        <item x="23"/>
        <item x="354"/>
        <item x="295"/>
        <item x="154"/>
        <item x="193"/>
        <item x="210"/>
        <item x="269"/>
        <item x="363"/>
        <item x="467"/>
        <item x="71"/>
        <item x="431"/>
        <item x="119"/>
        <item x="85"/>
        <item x="202"/>
        <item x="308"/>
        <item x="457"/>
        <item x="383"/>
        <item x="338"/>
        <item x="225"/>
        <item x="4"/>
        <item x="282"/>
        <item x="156"/>
        <item x="191"/>
        <item x="440"/>
        <item x="106"/>
        <item x="31"/>
        <item x="190"/>
        <item x="268"/>
        <item x="284"/>
        <item x="2"/>
        <item x="209"/>
        <item x="432"/>
        <item x="116"/>
        <item x="508"/>
        <item x="62"/>
        <item x="44"/>
        <item x="98"/>
        <item x="61"/>
        <item x="411"/>
        <item x="164"/>
        <item x="410"/>
        <item x="192"/>
        <item x="69"/>
        <item x="215"/>
        <item x="525"/>
        <item x="256"/>
        <item x="54"/>
        <item x="478"/>
        <item x="200"/>
        <item x="526"/>
        <item x="289"/>
        <item x="207"/>
        <item x="362"/>
        <item x="348"/>
        <item x="133"/>
        <item x="483"/>
        <item x="424"/>
        <item x="443"/>
        <item x="247"/>
        <item x="78"/>
        <item x="75"/>
        <item x="139"/>
        <item x="477"/>
        <item x="364"/>
        <item x="125"/>
        <item x="248"/>
        <item x="261"/>
        <item x="372"/>
        <item x="186"/>
        <item x="152"/>
        <item x="510"/>
        <item x="442"/>
        <item x="455"/>
        <item x="332"/>
        <item x="426"/>
        <item x="87"/>
        <item t="default"/>
      </items>
    </pivotField>
    <pivotField showAll="0" sortType="ascending">
      <items count="24">
        <item m="1" x="19"/>
        <item m="1" x="20"/>
        <item m="1" x="18"/>
        <item m="1" x="13"/>
        <item x="7"/>
        <item x="9"/>
        <item x="6"/>
        <item x="1"/>
        <item x="8"/>
        <item m="1" x="22"/>
        <item x="11"/>
        <item m="1" x="17"/>
        <item m="1" x="12"/>
        <item m="1" x="21"/>
        <item m="1" x="15"/>
        <item m="1" x="14"/>
        <item m="1" x="16"/>
        <item x="5"/>
        <item x="0"/>
        <item x="10"/>
        <item x="3"/>
        <item x="2"/>
        <item x="4"/>
        <item t="default"/>
      </items>
    </pivotField>
    <pivotField showAll="0"/>
    <pivotField showAll="0"/>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numFmtId="14" showAll="0"/>
    <pivotField showAll="0"/>
    <pivotField axis="axisRow" showAll="0" measureFilter="1" sortType="ascending">
      <items count="16">
        <item x="9"/>
        <item x="5"/>
        <item x="4"/>
        <item x="6"/>
        <item x="1"/>
        <item x="8"/>
        <item x="2"/>
        <item x="13"/>
        <item x="10"/>
        <item x="11"/>
        <item x="0"/>
        <item x="3"/>
        <item x="12"/>
        <item x="14"/>
        <item x="7"/>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dataField="1" showAll="0"/>
    <pivotField showAll="0"/>
  </pivotFields>
  <rowFields count="1">
    <field x="9"/>
  </rowFields>
  <rowItems count="11">
    <i>
      <x v="1"/>
    </i>
    <i>
      <x v="11"/>
    </i>
    <i>
      <x v="4"/>
    </i>
    <i>
      <x v="3"/>
    </i>
    <i>
      <x v="8"/>
    </i>
    <i>
      <x v="5"/>
    </i>
    <i>
      <x/>
    </i>
    <i>
      <x v="13"/>
    </i>
    <i>
      <x v="9"/>
    </i>
    <i>
      <x v="14"/>
    </i>
    <i t="grand">
      <x/>
    </i>
  </rowItems>
  <colItems count="1">
    <i/>
  </colItems>
  <dataFields count="1">
    <dataField name="Sum of sales" fld="14" baseField="0" baseItem="0" numFmtId="166"/>
  </dataFields>
  <formats count="1">
    <format dxfId="22">
      <pivotArea outline="0" collapsedLevelsAreSubtotals="1" fieldPosition="0"/>
    </format>
  </formats>
  <chartFormats count="12">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9FFC8E-669F-43D8-9202-AEDCA0DADCF0}" name="Region-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N3:O8" firstHeaderRow="1" firstDataRow="1" firstDataCol="1"/>
  <pivotFields count="16">
    <pivotField showAll="0"/>
    <pivotField numFmtId="14" showAll="0">
      <items count="535">
        <item x="60"/>
        <item x="13"/>
        <item x="520"/>
        <item x="419"/>
        <item x="480"/>
        <item x="203"/>
        <item x="449"/>
        <item x="388"/>
        <item x="484"/>
        <item x="403"/>
        <item x="420"/>
        <item x="104"/>
        <item x="227"/>
        <item x="111"/>
        <item x="303"/>
        <item x="345"/>
        <item x="237"/>
        <item x="425"/>
        <item x="211"/>
        <item x="493"/>
        <item x="170"/>
        <item x="219"/>
        <item x="304"/>
        <item x="43"/>
        <item x="356"/>
        <item x="275"/>
        <item x="262"/>
        <item x="236"/>
        <item x="447"/>
        <item x="473"/>
        <item x="352"/>
        <item x="37"/>
        <item x="494"/>
        <item x="145"/>
        <item x="341"/>
        <item x="198"/>
        <item x="19"/>
        <item x="505"/>
        <item x="416"/>
        <item x="418"/>
        <item x="17"/>
        <item x="522"/>
        <item x="218"/>
        <item x="396"/>
        <item x="335"/>
        <item x="312"/>
        <item x="20"/>
        <item x="250"/>
        <item x="153"/>
        <item x="157"/>
        <item x="27"/>
        <item x="273"/>
        <item x="417"/>
        <item x="8"/>
        <item x="266"/>
        <item x="263"/>
        <item x="265"/>
        <item x="306"/>
        <item x="161"/>
        <item x="285"/>
        <item x="322"/>
        <item x="100"/>
        <item x="287"/>
        <item x="242"/>
        <item x="122"/>
        <item x="466"/>
        <item x="514"/>
        <item x="380"/>
        <item x="212"/>
        <item x="226"/>
        <item x="129"/>
        <item x="423"/>
        <item x="355"/>
        <item x="196"/>
        <item x="224"/>
        <item x="188"/>
        <item x="292"/>
        <item x="435"/>
        <item x="436"/>
        <item x="517"/>
        <item x="77"/>
        <item x="49"/>
        <item x="376"/>
        <item x="384"/>
        <item x="328"/>
        <item x="109"/>
        <item x="55"/>
        <item x="481"/>
        <item x="63"/>
        <item x="228"/>
        <item x="187"/>
        <item x="42"/>
        <item x="340"/>
        <item x="39"/>
        <item x="26"/>
        <item x="479"/>
        <item x="390"/>
        <item x="33"/>
        <item x="315"/>
        <item x="379"/>
        <item x="462"/>
        <item x="305"/>
        <item x="429"/>
        <item x="351"/>
        <item x="452"/>
        <item x="407"/>
        <item x="349"/>
        <item x="180"/>
        <item x="199"/>
        <item x="72"/>
        <item x="76"/>
        <item x="184"/>
        <item x="307"/>
        <item x="277"/>
        <item x="108"/>
        <item x="221"/>
        <item x="253"/>
        <item x="204"/>
        <item x="325"/>
        <item x="168"/>
        <item x="297"/>
        <item x="294"/>
        <item x="533"/>
        <item x="214"/>
        <item x="476"/>
        <item x="516"/>
        <item x="438"/>
        <item x="343"/>
        <item x="70"/>
        <item x="460"/>
        <item x="368"/>
        <item x="231"/>
        <item x="165"/>
        <item x="120"/>
        <item x="421"/>
        <item x="323"/>
        <item x="249"/>
        <item x="101"/>
        <item x="142"/>
        <item x="521"/>
        <item x="501"/>
        <item x="276"/>
        <item x="402"/>
        <item x="59"/>
        <item x="126"/>
        <item x="132"/>
        <item x="136"/>
        <item x="495"/>
        <item x="155"/>
        <item x="205"/>
        <item x="317"/>
        <item x="366"/>
        <item x="25"/>
        <item x="453"/>
        <item x="367"/>
        <item x="515"/>
        <item x="35"/>
        <item x="102"/>
        <item x="12"/>
        <item x="90"/>
        <item x="16"/>
        <item x="391"/>
        <item x="208"/>
        <item x="451"/>
        <item x="301"/>
        <item x="400"/>
        <item x="333"/>
        <item x="177"/>
        <item x="148"/>
        <item x="52"/>
        <item x="163"/>
        <item x="89"/>
        <item x="456"/>
        <item x="229"/>
        <item x="406"/>
        <item x="21"/>
        <item x="302"/>
        <item x="11"/>
        <item x="232"/>
        <item x="488"/>
        <item x="151"/>
        <item x="311"/>
        <item x="444"/>
        <item x="377"/>
        <item x="130"/>
        <item x="502"/>
        <item x="370"/>
        <item x="107"/>
        <item x="48"/>
        <item x="79"/>
        <item x="298"/>
        <item x="318"/>
        <item x="395"/>
        <item x="110"/>
        <item x="124"/>
        <item x="490"/>
        <item x="330"/>
        <item x="492"/>
        <item x="36"/>
        <item x="56"/>
        <item x="433"/>
        <item x="471"/>
        <item x="504"/>
        <item x="131"/>
        <item x="160"/>
        <item x="255"/>
        <item x="138"/>
        <item x="272"/>
        <item x="38"/>
        <item x="166"/>
        <item x="7"/>
        <item x="222"/>
        <item x="412"/>
        <item x="141"/>
        <item x="319"/>
        <item x="67"/>
        <item x="195"/>
        <item x="169"/>
        <item x="382"/>
        <item x="375"/>
        <item x="178"/>
        <item x="511"/>
        <item x="206"/>
        <item x="371"/>
        <item x="401"/>
        <item x="197"/>
        <item x="531"/>
        <item x="114"/>
        <item x="137"/>
        <item x="530"/>
        <item x="146"/>
        <item x="461"/>
        <item x="389"/>
        <item x="257"/>
        <item x="290"/>
        <item x="487"/>
        <item x="365"/>
        <item x="498"/>
        <item x="454"/>
        <item x="88"/>
        <item x="470"/>
        <item x="162"/>
        <item x="171"/>
        <item x="441"/>
        <item x="499"/>
        <item x="259"/>
        <item x="288"/>
        <item x="387"/>
        <item x="378"/>
        <item x="361"/>
        <item x="47"/>
        <item x="167"/>
        <item x="491"/>
        <item x="123"/>
        <item x="344"/>
        <item x="281"/>
        <item x="5"/>
        <item x="507"/>
        <item x="117"/>
        <item x="278"/>
        <item x="408"/>
        <item x="57"/>
        <item x="430"/>
        <item x="489"/>
        <item x="398"/>
        <item x="105"/>
        <item x="468"/>
        <item x="94"/>
        <item x="324"/>
        <item x="369"/>
        <item x="500"/>
        <item x="472"/>
        <item x="413"/>
        <item x="446"/>
        <item x="434"/>
        <item x="174"/>
        <item x="280"/>
        <item x="213"/>
        <item x="464"/>
        <item x="320"/>
        <item x="41"/>
        <item x="220"/>
        <item x="299"/>
        <item x="243"/>
        <item x="314"/>
        <item x="112"/>
        <item x="251"/>
        <item x="397"/>
        <item x="65"/>
        <item x="239"/>
        <item x="296"/>
        <item x="386"/>
        <item x="274"/>
        <item x="437"/>
        <item x="321"/>
        <item x="459"/>
        <item x="428"/>
        <item x="286"/>
        <item x="399"/>
        <item x="99"/>
        <item x="374"/>
        <item x="439"/>
        <item x="527"/>
        <item x="327"/>
        <item x="53"/>
        <item x="448"/>
        <item x="385"/>
        <item x="405"/>
        <item x="529"/>
        <item x="264"/>
        <item x="66"/>
        <item x="45"/>
        <item x="64"/>
        <item x="518"/>
        <item x="185"/>
        <item x="469"/>
        <item x="46"/>
        <item x="414"/>
        <item x="182"/>
        <item x="394"/>
        <item x="147"/>
        <item x="95"/>
        <item x="92"/>
        <item x="103"/>
        <item x="245"/>
        <item x="254"/>
        <item x="238"/>
        <item x="241"/>
        <item x="475"/>
        <item x="149"/>
        <item x="260"/>
        <item x="422"/>
        <item x="497"/>
        <item x="97"/>
        <item x="509"/>
        <item x="30"/>
        <item x="279"/>
        <item x="465"/>
        <item x="175"/>
        <item x="81"/>
        <item x="223"/>
        <item x="331"/>
        <item x="83"/>
        <item x="234"/>
        <item x="84"/>
        <item x="353"/>
        <item x="235"/>
        <item x="14"/>
        <item x="74"/>
        <item x="189"/>
        <item x="316"/>
        <item x="474"/>
        <item x="51"/>
        <item x="173"/>
        <item x="80"/>
        <item x="350"/>
        <item x="3"/>
        <item x="159"/>
        <item x="271"/>
        <item x="50"/>
        <item x="216"/>
        <item x="1"/>
        <item x="532"/>
        <item x="73"/>
        <item x="128"/>
        <item x="18"/>
        <item x="143"/>
        <item x="336"/>
        <item x="179"/>
        <item x="134"/>
        <item x="86"/>
        <item x="291"/>
        <item x="463"/>
        <item x="127"/>
        <item x="118"/>
        <item x="140"/>
        <item x="144"/>
        <item x="506"/>
        <item x="381"/>
        <item x="513"/>
        <item x="201"/>
        <item x="309"/>
        <item x="524"/>
        <item x="82"/>
        <item x="240"/>
        <item x="29"/>
        <item x="313"/>
        <item x="181"/>
        <item x="360"/>
        <item x="267"/>
        <item x="58"/>
        <item x="172"/>
        <item x="310"/>
        <item x="300"/>
        <item x="339"/>
        <item x="329"/>
        <item x="450"/>
        <item x="528"/>
        <item x="523"/>
        <item x="135"/>
        <item x="233"/>
        <item x="293"/>
        <item x="409"/>
        <item x="6"/>
        <item x="486"/>
        <item x="121"/>
        <item x="10"/>
        <item x="496"/>
        <item x="91"/>
        <item x="503"/>
        <item x="392"/>
        <item x="519"/>
        <item x="9"/>
        <item x="40"/>
        <item x="34"/>
        <item x="32"/>
        <item x="15"/>
        <item x="246"/>
        <item x="283"/>
        <item x="373"/>
        <item x="217"/>
        <item x="244"/>
        <item x="28"/>
        <item x="427"/>
        <item x="24"/>
        <item x="115"/>
        <item x="326"/>
        <item x="252"/>
        <item x="485"/>
        <item x="22"/>
        <item x="0"/>
        <item x="347"/>
        <item x="334"/>
        <item x="337"/>
        <item x="93"/>
        <item x="346"/>
        <item x="270"/>
        <item x="393"/>
        <item x="415"/>
        <item x="183"/>
        <item x="113"/>
        <item x="404"/>
        <item x="158"/>
        <item x="230"/>
        <item x="445"/>
        <item x="258"/>
        <item x="482"/>
        <item x="96"/>
        <item x="357"/>
        <item x="68"/>
        <item x="176"/>
        <item x="150"/>
        <item x="512"/>
        <item x="358"/>
        <item x="458"/>
        <item x="342"/>
        <item x="359"/>
        <item x="194"/>
        <item x="23"/>
        <item x="354"/>
        <item x="295"/>
        <item x="154"/>
        <item x="193"/>
        <item x="210"/>
        <item x="269"/>
        <item x="363"/>
        <item x="467"/>
        <item x="71"/>
        <item x="431"/>
        <item x="119"/>
        <item x="85"/>
        <item x="202"/>
        <item x="308"/>
        <item x="457"/>
        <item x="383"/>
        <item x="338"/>
        <item x="225"/>
        <item x="4"/>
        <item x="282"/>
        <item x="156"/>
        <item x="191"/>
        <item x="440"/>
        <item x="106"/>
        <item x="31"/>
        <item x="190"/>
        <item x="268"/>
        <item x="284"/>
        <item x="2"/>
        <item x="209"/>
        <item x="432"/>
        <item x="116"/>
        <item x="508"/>
        <item x="62"/>
        <item x="44"/>
        <item x="98"/>
        <item x="61"/>
        <item x="411"/>
        <item x="164"/>
        <item x="410"/>
        <item x="192"/>
        <item x="69"/>
        <item x="215"/>
        <item x="525"/>
        <item x="256"/>
        <item x="54"/>
        <item x="478"/>
        <item x="200"/>
        <item x="526"/>
        <item x="289"/>
        <item x="207"/>
        <item x="362"/>
        <item x="348"/>
        <item x="133"/>
        <item x="483"/>
        <item x="424"/>
        <item x="443"/>
        <item x="247"/>
        <item x="78"/>
        <item x="75"/>
        <item x="139"/>
        <item x="477"/>
        <item x="364"/>
        <item x="125"/>
        <item x="248"/>
        <item x="261"/>
        <item x="372"/>
        <item x="186"/>
        <item x="152"/>
        <item x="510"/>
        <item x="442"/>
        <item x="455"/>
        <item x="332"/>
        <item x="426"/>
        <item x="87"/>
        <item t="default"/>
      </items>
    </pivotField>
    <pivotField showAll="0" sortType="ascending">
      <items count="24">
        <item m="1" x="19"/>
        <item m="1" x="20"/>
        <item m="1" x="18"/>
        <item m="1" x="13"/>
        <item x="7"/>
        <item x="9"/>
        <item x="6"/>
        <item x="1"/>
        <item x="8"/>
        <item m="1" x="22"/>
        <item x="11"/>
        <item m="1" x="17"/>
        <item m="1" x="12"/>
        <item m="1" x="21"/>
        <item m="1" x="15"/>
        <item m="1" x="14"/>
        <item m="1" x="16"/>
        <item x="5"/>
        <item x="0"/>
        <item x="10"/>
        <item x="3"/>
        <item x="2"/>
        <item x="4"/>
        <item t="default"/>
      </items>
    </pivotField>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items count="4">
        <item x="1"/>
        <item x="2"/>
        <item x="0"/>
        <item t="default"/>
      </items>
    </pivotField>
    <pivotField showAll="0"/>
    <pivotField showAll="0"/>
    <pivotField showAll="0"/>
    <pivotField dataField="1" showAll="0"/>
    <pivotField showAll="0"/>
  </pivotFields>
  <rowFields count="1">
    <field x="6"/>
  </rowFields>
  <rowItems count="5">
    <i>
      <x v="1"/>
    </i>
    <i>
      <x v="2"/>
    </i>
    <i>
      <x v="3"/>
    </i>
    <i>
      <x/>
    </i>
    <i t="grand">
      <x/>
    </i>
  </rowItems>
  <colItems count="1">
    <i/>
  </colItems>
  <dataFields count="1">
    <dataField name="Sum of sales" fld="14" baseField="0" baseItem="0" numFmtId="166"/>
  </dataFields>
  <formats count="1">
    <format dxfId="23">
      <pivotArea outline="0" collapsedLevelsAreSubtotals="1" fieldPosition="0"/>
    </format>
  </formats>
  <chartFormats count="10">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19CAEF-80CC-4CB0-BFA2-453094F1D082}" autoFormatId="16" applyNumberFormats="0" applyBorderFormats="0" applyFontFormats="0" applyPatternFormats="0" applyAlignmentFormats="0" applyWidthHeightFormats="0">
  <queryTableRefresh nextId="17">
    <queryTableFields count="16">
      <queryTableField id="1" name="order_id" tableColumnId="1"/>
      <queryTableField id="2" name="order_date" tableColumnId="2"/>
      <queryTableField id="16" dataBound="0" tableColumnId="16"/>
      <queryTableField id="3" name="customer_id" tableColumnId="3"/>
      <queryTableField id="4" name="customer_name" tableColumnId="4"/>
      <queryTableField id="5" name="city" tableColumnId="5"/>
      <queryTableField id="6" name="region" tableColumnId="6"/>
      <queryTableField id="7" name="signup_date" tableColumnId="7"/>
      <queryTableField id="8" name="product_id" tableColumnId="8"/>
      <queryTableField id="9" name="product_name" tableColumnId="9"/>
      <queryTableField id="10" name="category" tableColumnId="10"/>
      <queryTableField id="11" name="unit_price" tableColumnId="11"/>
      <queryTableField id="12" name="quantity" tableColumnId="12"/>
      <queryTableField id="13" name="discount" tableColumnId="13"/>
      <queryTableField id="14" name="sales" tableColumnId="14"/>
      <queryTableField id="15" name="profi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741D44-FFC9-4649-903B-63C38D84F9A1}" sourceName="region">
  <pivotTables>
    <pivotTable tabId="8" name="Monthly Sales Trend"/>
    <pivotTable tabId="8" name="Category-wise Sales"/>
    <pivotTable tabId="8" name="Region-wise Sales"/>
    <pivotTable tabId="8" name="Top 10 Best Selling Products"/>
    <pivotTable tabId="8" name="Top 10 Cusomers by Revenue"/>
    <pivotTable tabId="3" name="KPI'S"/>
  </pivotTables>
  <data>
    <tabular pivotCacheId="75064197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22F588-DA14-4380-AB8A-3114FA5B40E5}" sourceName="category">
  <pivotTables>
    <pivotTable tabId="8" name="Monthly Sales Trend"/>
    <pivotTable tabId="8" name="Category-wise Sales"/>
    <pivotTable tabId="8" name="Region-wise Sales"/>
    <pivotTable tabId="8" name="Top 10 Best Selling Products"/>
    <pivotTable tabId="8" name="Top 10 Cusomers by Revenue"/>
    <pivotTable tabId="3" name="KPI'S"/>
  </pivotTables>
  <data>
    <tabular pivotCacheId="75064197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5E8E0F-9E5D-4CB6-8663-803288638F11}" cache="Slicer_region" caption="region" style="Region" rowHeight="234950"/>
  <slicer name="category" xr10:uid="{57C0C680-299D-4B03-8EDD-538628580126}" cache="Slicer_category" caption="category" style="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0C2F59-CBEC-4C65-9FA2-1870ECB6CB6A}" name="E_Commerce_data" displayName="E_Commerce_data" ref="A1:P1001" tableType="queryTable" totalsRowShown="0" headerRowDxfId="17" dataDxfId="16">
  <autoFilter ref="A1:P1001" xr:uid="{FC0C2F59-CBEC-4C65-9FA2-1870ECB6CB6A}"/>
  <sortState xmlns:xlrd2="http://schemas.microsoft.com/office/spreadsheetml/2017/richdata2" ref="A2:P1001">
    <sortCondition ref="A1:A1001"/>
  </sortState>
  <tableColumns count="16">
    <tableColumn id="1" xr3:uid="{AE454D47-FBE5-457A-8EC7-3E41200A9514}" uniqueName="1" name="order_id" queryTableFieldId="1" dataDxfId="15"/>
    <tableColumn id="2" xr3:uid="{42235904-47F0-4EE8-9EA3-DD49392A1509}" uniqueName="2" name="order_date" queryTableFieldId="2" dataDxfId="14"/>
    <tableColumn id="16" xr3:uid="{13B33778-6AA8-428F-978A-E14669886225}" uniqueName="16" name="month" queryTableFieldId="16" dataDxfId="13">
      <calculatedColumnFormula>TEXT(E_Commerce_data[[#This Row],[order_date]],"MMM")</calculatedColumnFormula>
    </tableColumn>
    <tableColumn id="3" xr3:uid="{794EB6CB-18F9-4409-8BEB-C9D1E47D2853}" uniqueName="3" name="customer_id" queryTableFieldId="3" dataDxfId="12"/>
    <tableColumn id="4" xr3:uid="{4C102406-B78F-4D9E-9D3A-9D6FA26A0FBE}" uniqueName="4" name="customer_name" queryTableFieldId="4" dataDxfId="11"/>
    <tableColumn id="5" xr3:uid="{072653A1-F8C2-4CC1-BBE1-DC70032E9EE6}" uniqueName="5" name="city" queryTableFieldId="5" dataDxfId="10"/>
    <tableColumn id="6" xr3:uid="{17EF45B4-5E2E-436B-AE45-2412B296EFDE}" uniqueName="6" name="region" queryTableFieldId="6" dataDxfId="9"/>
    <tableColumn id="7" xr3:uid="{DB2B1505-CB46-44A0-A9DD-B440107852F5}" uniqueName="7" name="signup_date" queryTableFieldId="7" dataDxfId="8"/>
    <tableColumn id="8" xr3:uid="{22BEAAAB-78A5-49F0-BCDF-F84D0828EDF4}" uniqueName="8" name="product_id" queryTableFieldId="8" dataDxfId="7"/>
    <tableColumn id="9" xr3:uid="{A734ECDD-1904-4625-82F3-E1C7CD8EE46D}" uniqueName="9" name="product_name" queryTableFieldId="9" dataDxfId="6"/>
    <tableColumn id="10" xr3:uid="{F1527100-D5EF-4A7F-B81E-C65AFD9F4BA4}" uniqueName="10" name="category" queryTableFieldId="10" dataDxfId="5"/>
    <tableColumn id="11" xr3:uid="{A8147866-380B-467D-9B06-D0053FE058AD}" uniqueName="11" name="unit_price" queryTableFieldId="11" dataDxfId="4"/>
    <tableColumn id="12" xr3:uid="{57ABB967-8307-47AC-8E21-567A29D949B4}" uniqueName="12" name="quantity" queryTableFieldId="12" dataDxfId="3"/>
    <tableColumn id="13" xr3:uid="{B57A9C0A-515C-4A30-8337-F17E16907FF0}" uniqueName="13" name="discount" queryTableFieldId="13" dataDxfId="2"/>
    <tableColumn id="14" xr3:uid="{7FC30A0C-1A21-4B79-AC9C-B0D2E08BFB33}" uniqueName="14" name="sales" queryTableFieldId="14" dataDxfId="1"/>
    <tableColumn id="15" xr3:uid="{50190AD4-CEC6-4363-9F98-D8259BCABE91}" uniqueName="15" name="profit" queryTableFieldId="1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7F471A-F7A0-4AAA-979F-CC3A3CF97AD7}" sourceName="order_date">
  <pivotTables>
    <pivotTable tabId="8" name="Monthly Sales Trend"/>
    <pivotTable tabId="8" name="Category-wise Sales"/>
    <pivotTable tabId="8" name="Top 10 Best Selling Products"/>
    <pivotTable tabId="8" name="Region-wise Sales"/>
    <pivotTable tabId="8" name="Top 10 Cusomers by Revenue"/>
    <pivotTable tabId="3" name="KPI'S"/>
  </pivotTables>
  <state minimalRefreshVersion="6" lastRefreshVersion="6" pivotCacheId="750641978"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B0A00D9-DB37-48D6-BE85-305AD171530E}" cache="NativeTimeline_order_date" caption="order_date" level="2" selectionLevel="2" scrollPosition="2024-01-01T00:00:00" style="Order Dat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1523D-CD28-49E0-80DF-61DF19EA7655}">
  <dimension ref="A1"/>
  <sheetViews>
    <sheetView tabSelected="1" zoomScale="90" zoomScaleNormal="90" workbookViewId="0">
      <selection activeCell="A24" sqref="A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D2EC-0148-428C-90D0-D46A969856C6}">
  <dimension ref="E4:H10"/>
  <sheetViews>
    <sheetView workbookViewId="0">
      <selection activeCell="H20" sqref="H20"/>
    </sheetView>
  </sheetViews>
  <sheetFormatPr defaultRowHeight="14.4" x14ac:dyDescent="0.3"/>
  <cols>
    <col min="1" max="1" width="12" bestFit="1" customWidth="1"/>
    <col min="2" max="2" width="12.109375" bestFit="1" customWidth="1"/>
    <col min="3" max="3" width="16" bestFit="1" customWidth="1"/>
    <col min="5" max="5" width="14.44140625" bestFit="1" customWidth="1"/>
    <col min="6" max="6" width="15.33203125" bestFit="1" customWidth="1"/>
    <col min="7" max="7" width="16" bestFit="1" customWidth="1"/>
    <col min="8" max="8" width="17.88671875" bestFit="1" customWidth="1"/>
  </cols>
  <sheetData>
    <row r="4" spans="5:8" x14ac:dyDescent="0.3">
      <c r="E4" s="15" t="s">
        <v>1265</v>
      </c>
      <c r="F4" s="15"/>
      <c r="G4" s="15"/>
      <c r="H4" s="15"/>
    </row>
    <row r="5" spans="5:8" x14ac:dyDescent="0.3">
      <c r="E5" s="13" t="s">
        <v>1262</v>
      </c>
      <c r="F5" s="13" t="s">
        <v>1263</v>
      </c>
      <c r="G5" s="13" t="s">
        <v>1264</v>
      </c>
      <c r="H5" s="14" t="s">
        <v>1269</v>
      </c>
    </row>
    <row r="6" spans="5:8" x14ac:dyDescent="0.3">
      <c r="E6" s="10">
        <v>51606521.470000021</v>
      </c>
      <c r="F6" s="11">
        <v>10574230.249999981</v>
      </c>
      <c r="G6" s="6">
        <v>1000</v>
      </c>
      <c r="H6" s="10">
        <f>GETPIVOTDATA("Sum of sales",$E$5)/GETPIVOTDATA("Count of order_id",$E$5)</f>
        <v>51606.521470000022</v>
      </c>
    </row>
    <row r="9" spans="5:8" x14ac:dyDescent="0.3">
      <c r="E9" s="12" t="s">
        <v>1266</v>
      </c>
      <c r="F9" s="12" t="s">
        <v>1267</v>
      </c>
      <c r="G9" s="12" t="s">
        <v>1268</v>
      </c>
      <c r="H9" s="7" t="s">
        <v>1269</v>
      </c>
    </row>
    <row r="10" spans="5:8" x14ac:dyDescent="0.3">
      <c r="E10" s="8">
        <f>GETPIVOTDATA("Sum of sales",$E$5)</f>
        <v>51606521.470000021</v>
      </c>
      <c r="F10" s="8">
        <f>GETPIVOTDATA("Sum of profit",$E$5)</f>
        <v>10574230.249999981</v>
      </c>
      <c r="G10" s="6">
        <f>GETPIVOTDATA("Count of order_id",$E$5)</f>
        <v>1000</v>
      </c>
      <c r="H10" s="9">
        <f>H6</f>
        <v>51606.521470000022</v>
      </c>
    </row>
  </sheetData>
  <mergeCells count="1">
    <mergeCell ref="E4:H4"/>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C0604-6B8B-4A1A-B068-DACA8A288FEE}">
  <dimension ref="A2:O48"/>
  <sheetViews>
    <sheetView zoomScale="70" zoomScaleNormal="70" workbookViewId="0">
      <selection activeCell="A22" sqref="A22"/>
    </sheetView>
  </sheetViews>
  <sheetFormatPr defaultRowHeight="14.4" x14ac:dyDescent="0.3"/>
  <cols>
    <col min="1" max="1" width="13.88671875" bestFit="1" customWidth="1"/>
    <col min="2" max="2" width="11.6640625" bestFit="1" customWidth="1"/>
    <col min="14" max="14" width="13.88671875" bestFit="1" customWidth="1"/>
    <col min="15" max="15" width="11.6640625" bestFit="1" customWidth="1"/>
  </cols>
  <sheetData>
    <row r="2" spans="1:15" x14ac:dyDescent="0.3">
      <c r="A2" s="16" t="s">
        <v>1274</v>
      </c>
      <c r="B2" s="16"/>
      <c r="N2" s="16" t="s">
        <v>1287</v>
      </c>
      <c r="O2" s="16"/>
    </row>
    <row r="3" spans="1:15" x14ac:dyDescent="0.3">
      <c r="A3" s="3" t="s">
        <v>1271</v>
      </c>
      <c r="B3" t="s">
        <v>1262</v>
      </c>
      <c r="N3" s="3" t="s">
        <v>1271</v>
      </c>
      <c r="O3" t="s">
        <v>1262</v>
      </c>
    </row>
    <row r="4" spans="1:15" x14ac:dyDescent="0.3">
      <c r="A4" s="4" t="s">
        <v>1282</v>
      </c>
      <c r="B4" s="5">
        <v>3371391.2899999996</v>
      </c>
      <c r="N4" s="4" t="s">
        <v>32</v>
      </c>
      <c r="O4" s="5">
        <v>16258588.280000014</v>
      </c>
    </row>
    <row r="5" spans="1:15" x14ac:dyDescent="0.3">
      <c r="A5" s="4" t="s">
        <v>1283</v>
      </c>
      <c r="B5" s="5">
        <v>4546527.0699999994</v>
      </c>
      <c r="N5" s="4" t="s">
        <v>27</v>
      </c>
      <c r="O5" s="5">
        <v>15959013.480000008</v>
      </c>
    </row>
    <row r="6" spans="1:15" x14ac:dyDescent="0.3">
      <c r="A6" s="4" t="s">
        <v>1281</v>
      </c>
      <c r="B6" s="5">
        <v>5286006.0099999979</v>
      </c>
      <c r="N6" s="4" t="s">
        <v>48</v>
      </c>
      <c r="O6" s="5">
        <v>11260752.17</v>
      </c>
    </row>
    <row r="7" spans="1:15" x14ac:dyDescent="0.3">
      <c r="A7" s="4" t="s">
        <v>1276</v>
      </c>
      <c r="B7" s="5">
        <v>4332532.4999999991</v>
      </c>
      <c r="N7" s="4" t="s">
        <v>19</v>
      </c>
      <c r="O7" s="5">
        <v>8128167.540000001</v>
      </c>
    </row>
    <row r="8" spans="1:15" x14ac:dyDescent="0.3">
      <c r="A8" s="4" t="s">
        <v>1272</v>
      </c>
      <c r="B8" s="5">
        <v>4249174.59</v>
      </c>
      <c r="N8" s="4" t="s">
        <v>1273</v>
      </c>
      <c r="O8" s="5">
        <v>51606521.470000029</v>
      </c>
    </row>
    <row r="9" spans="1:15" x14ac:dyDescent="0.3">
      <c r="A9" s="4" t="s">
        <v>1285</v>
      </c>
      <c r="B9" s="5">
        <v>3754721.87</v>
      </c>
    </row>
    <row r="10" spans="1:15" x14ac:dyDescent="0.3">
      <c r="A10" s="4" t="s">
        <v>1280</v>
      </c>
      <c r="B10" s="5">
        <v>4036800.4</v>
      </c>
    </row>
    <row r="11" spans="1:15" x14ac:dyDescent="0.3">
      <c r="A11" s="4" t="s">
        <v>1275</v>
      </c>
      <c r="B11" s="5">
        <v>3886266.5099999993</v>
      </c>
    </row>
    <row r="12" spans="1:15" x14ac:dyDescent="0.3">
      <c r="A12" s="4" t="s">
        <v>1284</v>
      </c>
      <c r="B12" s="5">
        <v>3950941.2600000002</v>
      </c>
    </row>
    <row r="13" spans="1:15" x14ac:dyDescent="0.3">
      <c r="A13" s="4" t="s">
        <v>1278</v>
      </c>
      <c r="B13" s="5">
        <v>4245886.72</v>
      </c>
    </row>
    <row r="14" spans="1:15" x14ac:dyDescent="0.3">
      <c r="A14" s="4" t="s">
        <v>1277</v>
      </c>
      <c r="B14" s="5">
        <v>4239064.09</v>
      </c>
    </row>
    <row r="15" spans="1:15" x14ac:dyDescent="0.3">
      <c r="A15" s="4" t="s">
        <v>1279</v>
      </c>
      <c r="B15" s="5">
        <v>5707209.1600000001</v>
      </c>
    </row>
    <row r="16" spans="1:15" x14ac:dyDescent="0.3">
      <c r="A16" s="4" t="s">
        <v>1273</v>
      </c>
      <c r="B16" s="5">
        <v>51606521.469999984</v>
      </c>
    </row>
    <row r="19" spans="1:15" x14ac:dyDescent="0.3">
      <c r="N19" s="16" t="s">
        <v>1288</v>
      </c>
      <c r="O19" s="16"/>
    </row>
    <row r="20" spans="1:15" x14ac:dyDescent="0.3">
      <c r="N20" s="3" t="s">
        <v>1271</v>
      </c>
      <c r="O20" t="s">
        <v>1262</v>
      </c>
    </row>
    <row r="21" spans="1:15" x14ac:dyDescent="0.3">
      <c r="A21" s="16" t="s">
        <v>1286</v>
      </c>
      <c r="B21" s="16"/>
      <c r="N21" s="4" t="s">
        <v>559</v>
      </c>
      <c r="O21" s="5">
        <v>2069638.8100000008</v>
      </c>
    </row>
    <row r="22" spans="1:15" x14ac:dyDescent="0.3">
      <c r="A22" s="3" t="s">
        <v>1271</v>
      </c>
      <c r="B22" t="s">
        <v>1262</v>
      </c>
      <c r="N22" s="4" t="s">
        <v>1035</v>
      </c>
      <c r="O22" s="5">
        <v>2083835.4599999993</v>
      </c>
    </row>
    <row r="23" spans="1:15" x14ac:dyDescent="0.3">
      <c r="A23" s="4" t="s">
        <v>560</v>
      </c>
      <c r="B23" s="5">
        <v>19268522.370000023</v>
      </c>
      <c r="N23" s="4" t="s">
        <v>216</v>
      </c>
      <c r="O23" s="5">
        <v>2083930.5499999998</v>
      </c>
    </row>
    <row r="24" spans="1:15" x14ac:dyDescent="0.3">
      <c r="A24" s="4" t="s">
        <v>902</v>
      </c>
      <c r="B24" s="5">
        <v>18966306.040000003</v>
      </c>
      <c r="N24" s="4" t="s">
        <v>1163</v>
      </c>
      <c r="O24" s="5">
        <v>3050633.0599999977</v>
      </c>
    </row>
    <row r="25" spans="1:15" x14ac:dyDescent="0.3">
      <c r="A25" s="4" t="s">
        <v>22</v>
      </c>
      <c r="B25" s="5">
        <v>13371693.060000001</v>
      </c>
      <c r="N25" s="4" t="s">
        <v>316</v>
      </c>
      <c r="O25" s="5">
        <v>3663553.1100000008</v>
      </c>
    </row>
    <row r="26" spans="1:15" x14ac:dyDescent="0.3">
      <c r="A26" s="4" t="s">
        <v>1273</v>
      </c>
      <c r="B26" s="5">
        <v>51606521.470000029</v>
      </c>
      <c r="N26" s="4" t="s">
        <v>421</v>
      </c>
      <c r="O26" s="5">
        <v>4784825.0500000007</v>
      </c>
    </row>
    <row r="27" spans="1:15" x14ac:dyDescent="0.3">
      <c r="N27" s="4" t="s">
        <v>707</v>
      </c>
      <c r="O27" s="5">
        <v>4955474.9299999988</v>
      </c>
    </row>
    <row r="28" spans="1:15" x14ac:dyDescent="0.3">
      <c r="N28" s="4" t="s">
        <v>1103</v>
      </c>
      <c r="O28" s="5">
        <v>5821313.3199999994</v>
      </c>
    </row>
    <row r="29" spans="1:15" x14ac:dyDescent="0.3">
      <c r="N29" s="4" t="s">
        <v>901</v>
      </c>
      <c r="O29" s="5">
        <v>7308094.2699999996</v>
      </c>
    </row>
    <row r="30" spans="1:15" x14ac:dyDescent="0.3">
      <c r="N30" s="4" t="s">
        <v>823</v>
      </c>
      <c r="O30" s="5">
        <v>9856526.400000006</v>
      </c>
    </row>
    <row r="31" spans="1:15" x14ac:dyDescent="0.3">
      <c r="N31" s="4" t="s">
        <v>1273</v>
      </c>
      <c r="O31" s="5">
        <v>45677824.960000001</v>
      </c>
    </row>
    <row r="36" spans="1:2" x14ac:dyDescent="0.3">
      <c r="A36" s="16" t="s">
        <v>1289</v>
      </c>
      <c r="B36" s="16"/>
    </row>
    <row r="37" spans="1:2" x14ac:dyDescent="0.3">
      <c r="A37" s="3" t="s">
        <v>1271</v>
      </c>
      <c r="B37" t="s">
        <v>1262</v>
      </c>
    </row>
    <row r="38" spans="1:2" x14ac:dyDescent="0.3">
      <c r="A38" s="4" t="s">
        <v>154</v>
      </c>
      <c r="B38" s="5">
        <v>790300.89</v>
      </c>
    </row>
    <row r="39" spans="1:2" x14ac:dyDescent="0.3">
      <c r="A39" s="4" t="s">
        <v>148</v>
      </c>
      <c r="B39" s="5">
        <v>794147.5</v>
      </c>
    </row>
    <row r="40" spans="1:2" x14ac:dyDescent="0.3">
      <c r="A40" s="4" t="s">
        <v>249</v>
      </c>
      <c r="B40" s="5">
        <v>863534.53999999992</v>
      </c>
    </row>
    <row r="41" spans="1:2" x14ac:dyDescent="0.3">
      <c r="A41" s="4" t="s">
        <v>35</v>
      </c>
      <c r="B41" s="5">
        <v>875317.27</v>
      </c>
    </row>
    <row r="42" spans="1:2" x14ac:dyDescent="0.3">
      <c r="A42" s="4" t="s">
        <v>219</v>
      </c>
      <c r="B42" s="5">
        <v>931049.91</v>
      </c>
    </row>
    <row r="43" spans="1:2" x14ac:dyDescent="0.3">
      <c r="A43" s="4" t="s">
        <v>330</v>
      </c>
      <c r="B43" s="5">
        <v>938451.37000000011</v>
      </c>
    </row>
    <row r="44" spans="1:2" x14ac:dyDescent="0.3">
      <c r="A44" s="4" t="s">
        <v>97</v>
      </c>
      <c r="B44" s="5">
        <v>943371.15999999992</v>
      </c>
    </row>
    <row r="45" spans="1:2" x14ac:dyDescent="0.3">
      <c r="A45" s="4" t="s">
        <v>288</v>
      </c>
      <c r="B45" s="5">
        <v>1020598.0000000001</v>
      </c>
    </row>
    <row r="46" spans="1:2" x14ac:dyDescent="0.3">
      <c r="A46" s="4" t="s">
        <v>100</v>
      </c>
      <c r="B46" s="5">
        <v>1076151.4099999999</v>
      </c>
    </row>
    <row r="47" spans="1:2" x14ac:dyDescent="0.3">
      <c r="A47" s="4" t="s">
        <v>362</v>
      </c>
      <c r="B47" s="5">
        <v>1185859.8000000003</v>
      </c>
    </row>
    <row r="48" spans="1:2" x14ac:dyDescent="0.3">
      <c r="A48" s="4" t="s">
        <v>1273</v>
      </c>
      <c r="B48" s="5">
        <v>9418781.8499999996</v>
      </c>
    </row>
  </sheetData>
  <mergeCells count="5">
    <mergeCell ref="A2:B2"/>
    <mergeCell ref="A21:B21"/>
    <mergeCell ref="N2:O2"/>
    <mergeCell ref="N19:O19"/>
    <mergeCell ref="A36:B36"/>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83944-2CBA-45B4-A878-DC21DB4C3ACE}">
  <dimension ref="A1:P1001"/>
  <sheetViews>
    <sheetView zoomScaleNormal="100" workbookViewId="0"/>
  </sheetViews>
  <sheetFormatPr defaultRowHeight="14.4" x14ac:dyDescent="0.3"/>
  <cols>
    <col min="1" max="1" width="10.33203125" style="1" bestFit="1" customWidth="1"/>
    <col min="2" max="2" width="12.5546875" style="1" bestFit="1" customWidth="1"/>
    <col min="3" max="3" width="13.6640625" style="1" bestFit="1" customWidth="1"/>
    <col min="4" max="4" width="17" style="1" bestFit="1" customWidth="1"/>
    <col min="5" max="5" width="19.21875" style="1" bestFit="1" customWidth="1"/>
    <col min="6" max="6" width="8.5546875" style="1" bestFit="1" customWidth="1"/>
    <col min="7" max="7" width="13.5546875" style="1" bestFit="1" customWidth="1"/>
    <col min="8" max="8" width="12.44140625" style="1" bestFit="1" customWidth="1"/>
    <col min="9" max="9" width="15.77734375" style="1" bestFit="1" customWidth="1"/>
    <col min="10" max="10" width="13.109375" style="1" bestFit="1" customWidth="1"/>
    <col min="11" max="11" width="11.6640625" style="1" bestFit="1" customWidth="1"/>
    <col min="12" max="12" width="10.33203125" style="1" bestFit="1" customWidth="1"/>
    <col min="13" max="13" width="10.44140625" style="1" bestFit="1" customWidth="1"/>
    <col min="14" max="14" width="10" style="1" bestFit="1" customWidth="1"/>
    <col min="15" max="15" width="9" style="1" bestFit="1" customWidth="1"/>
    <col min="16" max="16384" width="8.88671875" style="1"/>
  </cols>
  <sheetData>
    <row r="1" spans="1:16" x14ac:dyDescent="0.3">
      <c r="A1" s="1" t="s">
        <v>0</v>
      </c>
      <c r="B1" s="1" t="s">
        <v>1</v>
      </c>
      <c r="C1" s="1" t="s">
        <v>1270</v>
      </c>
      <c r="D1" s="1" t="s">
        <v>2</v>
      </c>
      <c r="E1" s="1" t="s">
        <v>3</v>
      </c>
      <c r="F1" s="1" t="s">
        <v>4</v>
      </c>
      <c r="G1" s="1" t="s">
        <v>5</v>
      </c>
      <c r="H1" s="1" t="s">
        <v>6</v>
      </c>
      <c r="I1" s="1" t="s">
        <v>7</v>
      </c>
      <c r="J1" s="1" t="s">
        <v>8</v>
      </c>
      <c r="K1" s="1" t="s">
        <v>9</v>
      </c>
      <c r="L1" s="1" t="s">
        <v>10</v>
      </c>
      <c r="M1" s="1" t="s">
        <v>11</v>
      </c>
      <c r="N1" s="1" t="s">
        <v>12</v>
      </c>
      <c r="O1" s="1" t="s">
        <v>13</v>
      </c>
      <c r="P1" s="1" t="s">
        <v>14</v>
      </c>
    </row>
    <row r="2" spans="1:16" x14ac:dyDescent="0.3">
      <c r="A2" s="1" t="s">
        <v>963</v>
      </c>
      <c r="B2" s="2">
        <v>45876</v>
      </c>
      <c r="C2" s="2" t="str">
        <f>TEXT(E_Commerce_data[[#This Row],[order_date]],"MMM")</f>
        <v>Aug</v>
      </c>
      <c r="D2" s="1" t="s">
        <v>255</v>
      </c>
      <c r="E2" s="1" t="s">
        <v>256</v>
      </c>
      <c r="F2" s="1" t="s">
        <v>26</v>
      </c>
      <c r="G2" s="1" t="s">
        <v>27</v>
      </c>
      <c r="H2" s="2">
        <v>45372</v>
      </c>
      <c r="I2" s="1" t="s">
        <v>964</v>
      </c>
      <c r="J2" s="1" t="s">
        <v>965</v>
      </c>
      <c r="K2" s="1" t="s">
        <v>902</v>
      </c>
      <c r="L2" s="1">
        <v>3589.32</v>
      </c>
      <c r="M2" s="1">
        <v>2</v>
      </c>
      <c r="N2" s="1">
        <v>0.15</v>
      </c>
      <c r="O2" s="1">
        <v>6101.84</v>
      </c>
      <c r="P2" s="1">
        <v>2017.6</v>
      </c>
    </row>
    <row r="3" spans="1:16" x14ac:dyDescent="0.3">
      <c r="A3" s="1" t="s">
        <v>214</v>
      </c>
      <c r="B3" s="2">
        <v>45776</v>
      </c>
      <c r="C3" s="2" t="str">
        <f>TEXT(E_Commerce_data[[#This Row],[order_date]],"MMM")</f>
        <v>Apr</v>
      </c>
      <c r="D3" s="1" t="s">
        <v>189</v>
      </c>
      <c r="E3" s="1" t="s">
        <v>190</v>
      </c>
      <c r="F3" s="1" t="s">
        <v>26</v>
      </c>
      <c r="G3" s="1" t="s">
        <v>27</v>
      </c>
      <c r="H3" s="2">
        <v>45645</v>
      </c>
      <c r="I3" s="1" t="s">
        <v>215</v>
      </c>
      <c r="J3" s="1" t="s">
        <v>216</v>
      </c>
      <c r="K3" s="1" t="s">
        <v>22</v>
      </c>
      <c r="L3" s="1">
        <v>11273.63</v>
      </c>
      <c r="M3" s="1">
        <v>5</v>
      </c>
      <c r="N3" s="1">
        <v>0.05</v>
      </c>
      <c r="O3" s="1">
        <v>53549.74</v>
      </c>
      <c r="P3" s="1">
        <v>6581.22</v>
      </c>
    </row>
    <row r="4" spans="1:16" x14ac:dyDescent="0.3">
      <c r="A4" s="1" t="s">
        <v>217</v>
      </c>
      <c r="B4" s="2">
        <v>45966</v>
      </c>
      <c r="C4" s="2" t="str">
        <f>TEXT(E_Commerce_data[[#This Row],[order_date]],"MMM")</f>
        <v>Nov</v>
      </c>
      <c r="D4" s="1" t="s">
        <v>218</v>
      </c>
      <c r="E4" s="1" t="s">
        <v>219</v>
      </c>
      <c r="F4" s="1" t="s">
        <v>47</v>
      </c>
      <c r="G4" s="1" t="s">
        <v>48</v>
      </c>
      <c r="H4" s="2">
        <v>45241</v>
      </c>
      <c r="I4" s="1" t="s">
        <v>215</v>
      </c>
      <c r="J4" s="1" t="s">
        <v>216</v>
      </c>
      <c r="K4" s="1" t="s">
        <v>22</v>
      </c>
      <c r="L4" s="1">
        <v>11273.63</v>
      </c>
      <c r="M4" s="1">
        <v>4</v>
      </c>
      <c r="N4" s="1">
        <v>0</v>
      </c>
      <c r="O4" s="1">
        <v>45094.52</v>
      </c>
      <c r="P4" s="1">
        <v>3530.8</v>
      </c>
    </row>
    <row r="5" spans="1:16" x14ac:dyDescent="0.3">
      <c r="A5" s="1" t="s">
        <v>15</v>
      </c>
      <c r="B5" s="2">
        <v>45770</v>
      </c>
      <c r="C5" s="2" t="str">
        <f>TEXT(E_Commerce_data[[#This Row],[order_date]],"MMM")</f>
        <v>Apr</v>
      </c>
      <c r="D5" s="1" t="s">
        <v>16</v>
      </c>
      <c r="E5" s="1" t="s">
        <v>17</v>
      </c>
      <c r="F5" s="1" t="s">
        <v>18</v>
      </c>
      <c r="G5" s="1" t="s">
        <v>19</v>
      </c>
      <c r="H5" s="2">
        <v>44986</v>
      </c>
      <c r="I5" s="1" t="s">
        <v>20</v>
      </c>
      <c r="J5" s="1" t="s">
        <v>21</v>
      </c>
      <c r="K5" s="1" t="s">
        <v>22</v>
      </c>
      <c r="L5" s="1">
        <v>6094.16</v>
      </c>
      <c r="M5" s="1">
        <v>4</v>
      </c>
      <c r="N5" s="1">
        <v>0</v>
      </c>
      <c r="O5" s="1">
        <v>24376.639999999999</v>
      </c>
      <c r="P5" s="1">
        <v>4316.46</v>
      </c>
    </row>
    <row r="6" spans="1:16" x14ac:dyDescent="0.3">
      <c r="A6" s="1" t="s">
        <v>1033</v>
      </c>
      <c r="B6" s="2">
        <v>45953</v>
      </c>
      <c r="C6" s="2" t="str">
        <f>TEXT(E_Commerce_data[[#This Row],[order_date]],"MMM")</f>
        <v>Oct</v>
      </c>
      <c r="D6" s="1" t="s">
        <v>255</v>
      </c>
      <c r="E6" s="1" t="s">
        <v>256</v>
      </c>
      <c r="F6" s="1" t="s">
        <v>26</v>
      </c>
      <c r="G6" s="1" t="s">
        <v>27</v>
      </c>
      <c r="H6" s="2">
        <v>45372</v>
      </c>
      <c r="I6" s="1" t="s">
        <v>1034</v>
      </c>
      <c r="J6" s="1" t="s">
        <v>1035</v>
      </c>
      <c r="K6" s="1" t="s">
        <v>902</v>
      </c>
      <c r="L6" s="1">
        <v>11938.33</v>
      </c>
      <c r="M6" s="1">
        <v>1</v>
      </c>
      <c r="N6" s="1">
        <v>0.15</v>
      </c>
      <c r="O6" s="1">
        <v>10147.58</v>
      </c>
      <c r="P6" s="1">
        <v>2496.6799999999998</v>
      </c>
    </row>
    <row r="7" spans="1:16" x14ac:dyDescent="0.3">
      <c r="A7" s="1" t="s">
        <v>632</v>
      </c>
      <c r="B7" s="2">
        <v>45639</v>
      </c>
      <c r="C7" s="2" t="str">
        <f>TEXT(E_Commerce_data[[#This Row],[order_date]],"MMM")</f>
        <v>Dec</v>
      </c>
      <c r="D7" s="1" t="s">
        <v>329</v>
      </c>
      <c r="E7" s="1" t="s">
        <v>330</v>
      </c>
      <c r="F7" s="1" t="s">
        <v>31</v>
      </c>
      <c r="G7" s="1" t="s">
        <v>32</v>
      </c>
      <c r="H7" s="2">
        <v>45275</v>
      </c>
      <c r="I7" s="1" t="s">
        <v>633</v>
      </c>
      <c r="J7" s="1" t="s">
        <v>634</v>
      </c>
      <c r="K7" s="1" t="s">
        <v>560</v>
      </c>
      <c r="L7" s="1">
        <v>3596.1</v>
      </c>
      <c r="M7" s="1">
        <v>1</v>
      </c>
      <c r="N7" s="1">
        <v>0</v>
      </c>
      <c r="O7" s="1">
        <v>3596.1</v>
      </c>
      <c r="P7" s="1">
        <v>614.16</v>
      </c>
    </row>
    <row r="8" spans="1:16" x14ac:dyDescent="0.3">
      <c r="A8" s="1" t="s">
        <v>557</v>
      </c>
      <c r="B8" s="2">
        <v>45841</v>
      </c>
      <c r="C8" s="2" t="str">
        <f>TEXT(E_Commerce_data[[#This Row],[order_date]],"MMM")</f>
        <v>Jul</v>
      </c>
      <c r="D8" s="1" t="s">
        <v>115</v>
      </c>
      <c r="E8" s="1" t="s">
        <v>116</v>
      </c>
      <c r="F8" s="1" t="s">
        <v>93</v>
      </c>
      <c r="G8" s="1" t="s">
        <v>27</v>
      </c>
      <c r="H8" s="2">
        <v>45196</v>
      </c>
      <c r="I8" s="1" t="s">
        <v>558</v>
      </c>
      <c r="J8" s="1" t="s">
        <v>559</v>
      </c>
      <c r="K8" s="1" t="s">
        <v>560</v>
      </c>
      <c r="L8" s="1">
        <v>11049.86</v>
      </c>
      <c r="M8" s="1">
        <v>1</v>
      </c>
      <c r="N8" s="1">
        <v>0</v>
      </c>
      <c r="O8" s="1">
        <v>11049.86</v>
      </c>
      <c r="P8" s="1">
        <v>1187.6099999999999</v>
      </c>
    </row>
    <row r="9" spans="1:16" x14ac:dyDescent="0.3">
      <c r="A9" s="1" t="s">
        <v>1161</v>
      </c>
      <c r="B9" s="2">
        <v>45577</v>
      </c>
      <c r="C9" s="2" t="str">
        <f>TEXT(E_Commerce_data[[#This Row],[order_date]],"MMM")</f>
        <v>Oct</v>
      </c>
      <c r="D9" s="1" t="s">
        <v>132</v>
      </c>
      <c r="E9" s="1" t="s">
        <v>133</v>
      </c>
      <c r="F9" s="1" t="s">
        <v>76</v>
      </c>
      <c r="G9" s="1" t="s">
        <v>32</v>
      </c>
      <c r="H9" s="2">
        <v>45359</v>
      </c>
      <c r="I9" s="1" t="s">
        <v>1162</v>
      </c>
      <c r="J9" s="1" t="s">
        <v>1163</v>
      </c>
      <c r="K9" s="1" t="s">
        <v>902</v>
      </c>
      <c r="L9" s="1">
        <v>10751.13</v>
      </c>
      <c r="M9" s="1">
        <v>4</v>
      </c>
      <c r="N9" s="1">
        <v>0</v>
      </c>
      <c r="O9" s="1">
        <v>43004.52</v>
      </c>
      <c r="P9" s="1">
        <v>7593.07</v>
      </c>
    </row>
    <row r="10" spans="1:16" x14ac:dyDescent="0.3">
      <c r="A10" s="1" t="s">
        <v>966</v>
      </c>
      <c r="B10" s="2">
        <v>45369</v>
      </c>
      <c r="C10" s="2" t="str">
        <f>TEXT(E_Commerce_data[[#This Row],[order_date]],"MMM")</f>
        <v>Mar</v>
      </c>
      <c r="D10" s="1" t="s">
        <v>329</v>
      </c>
      <c r="E10" s="1" t="s">
        <v>330</v>
      </c>
      <c r="F10" s="1" t="s">
        <v>31</v>
      </c>
      <c r="G10" s="1" t="s">
        <v>32</v>
      </c>
      <c r="H10" s="2">
        <v>45275</v>
      </c>
      <c r="I10" s="1" t="s">
        <v>964</v>
      </c>
      <c r="J10" s="1" t="s">
        <v>965</v>
      </c>
      <c r="K10" s="1" t="s">
        <v>902</v>
      </c>
      <c r="L10" s="1">
        <v>3589.32</v>
      </c>
      <c r="M10" s="1">
        <v>4</v>
      </c>
      <c r="N10" s="1">
        <v>0</v>
      </c>
      <c r="O10" s="1">
        <v>14357.28</v>
      </c>
      <c r="P10" s="1">
        <v>4484.4399999999996</v>
      </c>
    </row>
    <row r="11" spans="1:16" x14ac:dyDescent="0.3">
      <c r="A11" s="1" t="s">
        <v>967</v>
      </c>
      <c r="B11" s="2">
        <v>45855</v>
      </c>
      <c r="C11" s="2" t="str">
        <f>TEXT(E_Commerce_data[[#This Row],[order_date]],"MMM")</f>
        <v>Jul</v>
      </c>
      <c r="D11" s="1" t="s">
        <v>222</v>
      </c>
      <c r="E11" s="1" t="s">
        <v>223</v>
      </c>
      <c r="F11" s="1" t="s">
        <v>72</v>
      </c>
      <c r="G11" s="1" t="s">
        <v>48</v>
      </c>
      <c r="H11" s="2">
        <v>45014</v>
      </c>
      <c r="I11" s="1" t="s">
        <v>964</v>
      </c>
      <c r="J11" s="1" t="s">
        <v>965</v>
      </c>
      <c r="K11" s="1" t="s">
        <v>902</v>
      </c>
      <c r="L11" s="1">
        <v>3589.32</v>
      </c>
      <c r="M11" s="1">
        <v>4</v>
      </c>
      <c r="N11" s="1">
        <v>0.2</v>
      </c>
      <c r="O11" s="1">
        <v>11485.82</v>
      </c>
      <c r="P11" s="1">
        <v>3542.28</v>
      </c>
    </row>
    <row r="12" spans="1:16" x14ac:dyDescent="0.3">
      <c r="A12" s="1" t="s">
        <v>635</v>
      </c>
      <c r="B12" s="2">
        <v>45845</v>
      </c>
      <c r="C12" s="2" t="str">
        <f>TEXT(E_Commerce_data[[#This Row],[order_date]],"MMM")</f>
        <v>Jul</v>
      </c>
      <c r="D12" s="1" t="s">
        <v>329</v>
      </c>
      <c r="E12" s="1" t="s">
        <v>330</v>
      </c>
      <c r="F12" s="1" t="s">
        <v>31</v>
      </c>
      <c r="G12" s="1" t="s">
        <v>32</v>
      </c>
      <c r="H12" s="2">
        <v>45275</v>
      </c>
      <c r="I12" s="1" t="s">
        <v>633</v>
      </c>
      <c r="J12" s="1" t="s">
        <v>634</v>
      </c>
      <c r="K12" s="1" t="s">
        <v>560</v>
      </c>
      <c r="L12" s="1">
        <v>3596.1</v>
      </c>
      <c r="M12" s="1">
        <v>1</v>
      </c>
      <c r="N12" s="1">
        <v>0</v>
      </c>
      <c r="O12" s="1">
        <v>3596.1</v>
      </c>
      <c r="P12" s="1">
        <v>883.36</v>
      </c>
    </row>
    <row r="13" spans="1:16" x14ac:dyDescent="0.3">
      <c r="A13" s="1" t="s">
        <v>636</v>
      </c>
      <c r="B13" s="2">
        <v>45534</v>
      </c>
      <c r="C13" s="2" t="str">
        <f>TEXT(E_Commerce_data[[#This Row],[order_date]],"MMM")</f>
        <v>Aug</v>
      </c>
      <c r="D13" s="1" t="s">
        <v>168</v>
      </c>
      <c r="E13" s="1" t="s">
        <v>169</v>
      </c>
      <c r="F13" s="1" t="s">
        <v>93</v>
      </c>
      <c r="G13" s="1" t="s">
        <v>27</v>
      </c>
      <c r="H13" s="2">
        <v>45389</v>
      </c>
      <c r="I13" s="1" t="s">
        <v>633</v>
      </c>
      <c r="J13" s="1" t="s">
        <v>634</v>
      </c>
      <c r="K13" s="1" t="s">
        <v>560</v>
      </c>
      <c r="L13" s="1">
        <v>3596.1</v>
      </c>
      <c r="M13" s="1">
        <v>1</v>
      </c>
      <c r="N13" s="1">
        <v>0</v>
      </c>
      <c r="O13" s="1">
        <v>3596.1</v>
      </c>
      <c r="P13" s="1">
        <v>1179.2</v>
      </c>
    </row>
    <row r="14" spans="1:16" x14ac:dyDescent="0.3">
      <c r="A14" s="1" t="s">
        <v>821</v>
      </c>
      <c r="B14" s="2">
        <v>45510</v>
      </c>
      <c r="C14" s="2" t="str">
        <f>TEXT(E_Commerce_data[[#This Row],[order_date]],"MMM")</f>
        <v>Aug</v>
      </c>
      <c r="D14" s="1" t="s">
        <v>225</v>
      </c>
      <c r="E14" s="1" t="s">
        <v>226</v>
      </c>
      <c r="F14" s="1" t="s">
        <v>76</v>
      </c>
      <c r="G14" s="1" t="s">
        <v>32</v>
      </c>
      <c r="H14" s="2">
        <v>45335</v>
      </c>
      <c r="I14" s="1" t="s">
        <v>822</v>
      </c>
      <c r="J14" s="1" t="s">
        <v>823</v>
      </c>
      <c r="K14" s="1" t="s">
        <v>560</v>
      </c>
      <c r="L14" s="1">
        <v>45275.73</v>
      </c>
      <c r="M14" s="1">
        <v>2</v>
      </c>
      <c r="N14" s="1">
        <v>0.05</v>
      </c>
      <c r="O14" s="1">
        <v>86023.89</v>
      </c>
      <c r="P14" s="1">
        <v>16834.22</v>
      </c>
    </row>
    <row r="15" spans="1:16" x14ac:dyDescent="0.3">
      <c r="A15" s="1" t="s">
        <v>419</v>
      </c>
      <c r="B15" s="2">
        <v>45294</v>
      </c>
      <c r="C15" s="2" t="str">
        <f>TEXT(E_Commerce_data[[#This Row],[order_date]],"MMM")</f>
        <v>Jan</v>
      </c>
      <c r="D15" s="1" t="s">
        <v>121</v>
      </c>
      <c r="E15" s="1" t="s">
        <v>122</v>
      </c>
      <c r="F15" s="1" t="s">
        <v>26</v>
      </c>
      <c r="G15" s="1" t="s">
        <v>27</v>
      </c>
      <c r="H15" s="2">
        <v>44994</v>
      </c>
      <c r="I15" s="1" t="s">
        <v>420</v>
      </c>
      <c r="J15" s="1" t="s">
        <v>421</v>
      </c>
      <c r="K15" s="1" t="s">
        <v>22</v>
      </c>
      <c r="L15" s="1">
        <v>29436.02</v>
      </c>
      <c r="M15" s="1">
        <v>4</v>
      </c>
      <c r="N15" s="1">
        <v>0</v>
      </c>
      <c r="O15" s="1">
        <v>117744.08</v>
      </c>
      <c r="P15" s="1">
        <v>11702.72</v>
      </c>
    </row>
    <row r="16" spans="1:16" x14ac:dyDescent="0.3">
      <c r="A16" s="1" t="s">
        <v>705</v>
      </c>
      <c r="B16" s="2">
        <v>45757</v>
      </c>
      <c r="C16" s="2" t="str">
        <f>TEXT(E_Commerce_data[[#This Row],[order_date]],"MMM")</f>
        <v>Apr</v>
      </c>
      <c r="D16" s="1" t="s">
        <v>179</v>
      </c>
      <c r="E16" s="1" t="s">
        <v>180</v>
      </c>
      <c r="F16" s="1" t="s">
        <v>47</v>
      </c>
      <c r="G16" s="1" t="s">
        <v>48</v>
      </c>
      <c r="H16" s="2">
        <v>45337</v>
      </c>
      <c r="I16" s="1" t="s">
        <v>706</v>
      </c>
      <c r="J16" s="1" t="s">
        <v>707</v>
      </c>
      <c r="K16" s="1" t="s">
        <v>560</v>
      </c>
      <c r="L16" s="1">
        <v>31573.59</v>
      </c>
      <c r="M16" s="1">
        <v>4</v>
      </c>
      <c r="N16" s="1">
        <v>0</v>
      </c>
      <c r="O16" s="1">
        <v>126294.36</v>
      </c>
      <c r="P16" s="1">
        <v>41418.92</v>
      </c>
    </row>
    <row r="17" spans="1:16" x14ac:dyDescent="0.3">
      <c r="A17" s="1" t="s">
        <v>824</v>
      </c>
      <c r="B17" s="2">
        <v>45861</v>
      </c>
      <c r="C17" s="2" t="str">
        <f>TEXT(E_Commerce_data[[#This Row],[order_date]],"MMM")</f>
        <v>Jul</v>
      </c>
      <c r="D17" s="1" t="s">
        <v>212</v>
      </c>
      <c r="E17" s="1" t="s">
        <v>213</v>
      </c>
      <c r="F17" s="1" t="s">
        <v>18</v>
      </c>
      <c r="G17" s="1" t="s">
        <v>19</v>
      </c>
      <c r="H17" s="2">
        <v>45613</v>
      </c>
      <c r="I17" s="1" t="s">
        <v>822</v>
      </c>
      <c r="J17" s="1" t="s">
        <v>823</v>
      </c>
      <c r="K17" s="1" t="s">
        <v>560</v>
      </c>
      <c r="L17" s="1">
        <v>45275.73</v>
      </c>
      <c r="M17" s="1">
        <v>3</v>
      </c>
      <c r="N17" s="1">
        <v>0.05</v>
      </c>
      <c r="O17" s="1">
        <v>129035.83</v>
      </c>
      <c r="P17" s="1">
        <v>33417.370000000003</v>
      </c>
    </row>
    <row r="18" spans="1:16" x14ac:dyDescent="0.3">
      <c r="A18" s="1" t="s">
        <v>314</v>
      </c>
      <c r="B18" s="2">
        <v>45514</v>
      </c>
      <c r="C18" s="2" t="str">
        <f>TEXT(E_Commerce_data[[#This Row],[order_date]],"MMM")</f>
        <v>Aug</v>
      </c>
      <c r="D18" s="1" t="s">
        <v>45</v>
      </c>
      <c r="E18" s="1" t="s">
        <v>46</v>
      </c>
      <c r="F18" s="1" t="s">
        <v>47</v>
      </c>
      <c r="G18" s="1" t="s">
        <v>48</v>
      </c>
      <c r="H18" s="2">
        <v>45290</v>
      </c>
      <c r="I18" s="1" t="s">
        <v>315</v>
      </c>
      <c r="J18" s="1" t="s">
        <v>316</v>
      </c>
      <c r="K18" s="1" t="s">
        <v>22</v>
      </c>
      <c r="L18" s="1">
        <v>16937.37</v>
      </c>
      <c r="M18" s="1">
        <v>4</v>
      </c>
      <c r="N18" s="1">
        <v>0</v>
      </c>
      <c r="O18" s="1">
        <v>67749.48</v>
      </c>
      <c r="P18" s="1">
        <v>7247.12</v>
      </c>
    </row>
    <row r="19" spans="1:16" x14ac:dyDescent="0.3">
      <c r="A19" s="1" t="s">
        <v>968</v>
      </c>
      <c r="B19" s="2">
        <v>45354</v>
      </c>
      <c r="C19" s="2" t="str">
        <f>TEXT(E_Commerce_data[[#This Row],[order_date]],"MMM")</f>
        <v>Mar</v>
      </c>
      <c r="D19" s="1" t="s">
        <v>41</v>
      </c>
      <c r="E19" s="1" t="s">
        <v>42</v>
      </c>
      <c r="F19" s="1" t="s">
        <v>43</v>
      </c>
      <c r="G19" s="1" t="s">
        <v>32</v>
      </c>
      <c r="H19" s="2">
        <v>45020</v>
      </c>
      <c r="I19" s="1" t="s">
        <v>964</v>
      </c>
      <c r="J19" s="1" t="s">
        <v>965</v>
      </c>
      <c r="K19" s="1" t="s">
        <v>902</v>
      </c>
      <c r="L19" s="1">
        <v>3589.32</v>
      </c>
      <c r="M19" s="1">
        <v>1</v>
      </c>
      <c r="N19" s="1">
        <v>0.1</v>
      </c>
      <c r="O19" s="1">
        <v>3230.39</v>
      </c>
      <c r="P19" s="1">
        <v>874.53</v>
      </c>
    </row>
    <row r="20" spans="1:16" x14ac:dyDescent="0.3">
      <c r="A20" s="1" t="s">
        <v>825</v>
      </c>
      <c r="B20" s="2">
        <v>45780</v>
      </c>
      <c r="C20" s="2" t="str">
        <f>TEXT(E_Commerce_data[[#This Row],[order_date]],"MMM")</f>
        <v>May</v>
      </c>
      <c r="D20" s="1" t="s">
        <v>139</v>
      </c>
      <c r="E20" s="1" t="s">
        <v>140</v>
      </c>
      <c r="F20" s="1" t="s">
        <v>47</v>
      </c>
      <c r="G20" s="1" t="s">
        <v>48</v>
      </c>
      <c r="H20" s="2">
        <v>44984</v>
      </c>
      <c r="I20" s="1" t="s">
        <v>822</v>
      </c>
      <c r="J20" s="1" t="s">
        <v>823</v>
      </c>
      <c r="K20" s="1" t="s">
        <v>560</v>
      </c>
      <c r="L20" s="1">
        <v>45275.73</v>
      </c>
      <c r="M20" s="1">
        <v>3</v>
      </c>
      <c r="N20" s="1">
        <v>0</v>
      </c>
      <c r="O20" s="1">
        <v>135827.19</v>
      </c>
      <c r="P20" s="1">
        <v>8834.57</v>
      </c>
    </row>
    <row r="21" spans="1:16" x14ac:dyDescent="0.3">
      <c r="A21" s="1" t="s">
        <v>220</v>
      </c>
      <c r="B21" s="2">
        <v>45350</v>
      </c>
      <c r="C21" s="2" t="str">
        <f>TEXT(E_Commerce_data[[#This Row],[order_date]],"MMM")</f>
        <v>Feb</v>
      </c>
      <c r="D21" s="1" t="s">
        <v>112</v>
      </c>
      <c r="E21" s="1" t="s">
        <v>113</v>
      </c>
      <c r="F21" s="1" t="s">
        <v>55</v>
      </c>
      <c r="G21" s="1" t="s">
        <v>27</v>
      </c>
      <c r="H21" s="2">
        <v>45602</v>
      </c>
      <c r="I21" s="1" t="s">
        <v>215</v>
      </c>
      <c r="J21" s="1" t="s">
        <v>216</v>
      </c>
      <c r="K21" s="1" t="s">
        <v>22</v>
      </c>
      <c r="L21" s="1">
        <v>11273.63</v>
      </c>
      <c r="M21" s="1">
        <v>5</v>
      </c>
      <c r="N21" s="1">
        <v>0.2</v>
      </c>
      <c r="O21" s="1">
        <v>45094.52</v>
      </c>
      <c r="P21" s="1">
        <v>9439.99</v>
      </c>
    </row>
    <row r="22" spans="1:16" x14ac:dyDescent="0.3">
      <c r="A22" s="1" t="s">
        <v>826</v>
      </c>
      <c r="B22" s="2">
        <v>45362</v>
      </c>
      <c r="C22" s="2" t="str">
        <f>TEXT(E_Commerce_data[[#This Row],[order_date]],"MMM")</f>
        <v>Mar</v>
      </c>
      <c r="D22" s="1" t="s">
        <v>248</v>
      </c>
      <c r="E22" s="1" t="s">
        <v>249</v>
      </c>
      <c r="F22" s="1" t="s">
        <v>72</v>
      </c>
      <c r="G22" s="1" t="s">
        <v>48</v>
      </c>
      <c r="H22" s="2">
        <v>45619</v>
      </c>
      <c r="I22" s="1" t="s">
        <v>822</v>
      </c>
      <c r="J22" s="1" t="s">
        <v>823</v>
      </c>
      <c r="K22" s="1" t="s">
        <v>560</v>
      </c>
      <c r="L22" s="1">
        <v>45275.73</v>
      </c>
      <c r="M22" s="1">
        <v>5</v>
      </c>
      <c r="N22" s="1">
        <v>0</v>
      </c>
      <c r="O22" s="1">
        <v>226378.65</v>
      </c>
      <c r="P22" s="1">
        <v>69136.67</v>
      </c>
    </row>
    <row r="23" spans="1:16" x14ac:dyDescent="0.3">
      <c r="A23" s="1" t="s">
        <v>23</v>
      </c>
      <c r="B23" s="2">
        <v>45532</v>
      </c>
      <c r="C23" s="2" t="str">
        <f>TEXT(E_Commerce_data[[#This Row],[order_date]],"MMM")</f>
        <v>Aug</v>
      </c>
      <c r="D23" s="1" t="s">
        <v>24</v>
      </c>
      <c r="E23" s="1" t="s">
        <v>25</v>
      </c>
      <c r="F23" s="1" t="s">
        <v>26</v>
      </c>
      <c r="G23" s="1" t="s">
        <v>27</v>
      </c>
      <c r="H23" s="2">
        <v>45069</v>
      </c>
      <c r="I23" s="1" t="s">
        <v>20</v>
      </c>
      <c r="J23" s="1" t="s">
        <v>21</v>
      </c>
      <c r="K23" s="1" t="s">
        <v>22</v>
      </c>
      <c r="L23" s="1">
        <v>6094.16</v>
      </c>
      <c r="M23" s="1">
        <v>5</v>
      </c>
      <c r="N23" s="1">
        <v>0</v>
      </c>
      <c r="O23" s="1">
        <v>30470.799999999999</v>
      </c>
      <c r="P23" s="1">
        <v>7695.82</v>
      </c>
    </row>
    <row r="24" spans="1:16" x14ac:dyDescent="0.3">
      <c r="A24" s="1" t="s">
        <v>708</v>
      </c>
      <c r="B24" s="2">
        <v>45875</v>
      </c>
      <c r="C24" s="2" t="str">
        <f>TEXT(E_Commerce_data[[#This Row],[order_date]],"MMM")</f>
        <v>Aug</v>
      </c>
      <c r="D24" s="1" t="s">
        <v>45</v>
      </c>
      <c r="E24" s="1" t="s">
        <v>46</v>
      </c>
      <c r="F24" s="1" t="s">
        <v>47</v>
      </c>
      <c r="G24" s="1" t="s">
        <v>48</v>
      </c>
      <c r="H24" s="2">
        <v>45290</v>
      </c>
      <c r="I24" s="1" t="s">
        <v>706</v>
      </c>
      <c r="J24" s="1" t="s">
        <v>707</v>
      </c>
      <c r="K24" s="1" t="s">
        <v>560</v>
      </c>
      <c r="L24" s="1">
        <v>31573.59</v>
      </c>
      <c r="M24" s="1">
        <v>4</v>
      </c>
      <c r="N24" s="1">
        <v>0</v>
      </c>
      <c r="O24" s="1">
        <v>126294.36</v>
      </c>
      <c r="P24" s="1">
        <v>41990.2</v>
      </c>
    </row>
    <row r="25" spans="1:16" x14ac:dyDescent="0.3">
      <c r="A25" s="1" t="s">
        <v>637</v>
      </c>
      <c r="B25" s="2">
        <v>45926</v>
      </c>
      <c r="C25" s="2" t="str">
        <f>TEXT(E_Commerce_data[[#This Row],[order_date]],"MMM")</f>
        <v>Sep</v>
      </c>
      <c r="D25" s="1" t="s">
        <v>338</v>
      </c>
      <c r="E25" s="1" t="s">
        <v>339</v>
      </c>
      <c r="F25" s="1" t="s">
        <v>93</v>
      </c>
      <c r="G25" s="1" t="s">
        <v>27</v>
      </c>
      <c r="H25" s="2">
        <v>45016</v>
      </c>
      <c r="I25" s="1" t="s">
        <v>633</v>
      </c>
      <c r="J25" s="1" t="s">
        <v>634</v>
      </c>
      <c r="K25" s="1" t="s">
        <v>560</v>
      </c>
      <c r="L25" s="1">
        <v>3596.1</v>
      </c>
      <c r="M25" s="1">
        <v>2</v>
      </c>
      <c r="N25" s="1">
        <v>0.1</v>
      </c>
      <c r="O25" s="1">
        <v>6472.98</v>
      </c>
      <c r="P25" s="1">
        <v>1478.14</v>
      </c>
    </row>
    <row r="26" spans="1:16" x14ac:dyDescent="0.3">
      <c r="A26" s="1" t="s">
        <v>827</v>
      </c>
      <c r="B26" s="2">
        <v>45870</v>
      </c>
      <c r="C26" s="2" t="str">
        <f>TEXT(E_Commerce_data[[#This Row],[order_date]],"MMM")</f>
        <v>Aug</v>
      </c>
      <c r="D26" s="1" t="s">
        <v>199</v>
      </c>
      <c r="E26" s="1" t="s">
        <v>200</v>
      </c>
      <c r="F26" s="1" t="s">
        <v>36</v>
      </c>
      <c r="G26" s="1" t="s">
        <v>32</v>
      </c>
      <c r="H26" s="2">
        <v>45196</v>
      </c>
      <c r="I26" s="1" t="s">
        <v>822</v>
      </c>
      <c r="J26" s="1" t="s">
        <v>823</v>
      </c>
      <c r="K26" s="1" t="s">
        <v>560</v>
      </c>
      <c r="L26" s="1">
        <v>45275.73</v>
      </c>
      <c r="M26" s="1">
        <v>1</v>
      </c>
      <c r="N26" s="1">
        <v>0.05</v>
      </c>
      <c r="O26" s="1">
        <v>43011.94</v>
      </c>
      <c r="P26" s="1">
        <v>10633.07</v>
      </c>
    </row>
    <row r="27" spans="1:16" x14ac:dyDescent="0.3">
      <c r="A27" s="1" t="s">
        <v>899</v>
      </c>
      <c r="B27" s="2">
        <v>45501</v>
      </c>
      <c r="C27" s="2" t="str">
        <f>TEXT(E_Commerce_data[[#This Row],[order_date]],"MMM")</f>
        <v>Jul</v>
      </c>
      <c r="D27" s="1" t="s">
        <v>29</v>
      </c>
      <c r="E27" s="1" t="s">
        <v>30</v>
      </c>
      <c r="F27" s="1" t="s">
        <v>31</v>
      </c>
      <c r="G27" s="1" t="s">
        <v>32</v>
      </c>
      <c r="H27" s="2">
        <v>45537</v>
      </c>
      <c r="I27" s="1" t="s">
        <v>900</v>
      </c>
      <c r="J27" s="1" t="s">
        <v>901</v>
      </c>
      <c r="K27" s="1" t="s">
        <v>902</v>
      </c>
      <c r="L27" s="1">
        <v>42988.79</v>
      </c>
      <c r="M27" s="1">
        <v>5</v>
      </c>
      <c r="N27" s="1">
        <v>0</v>
      </c>
      <c r="O27" s="1">
        <v>214943.95</v>
      </c>
      <c r="P27" s="1">
        <v>71020.03</v>
      </c>
    </row>
    <row r="28" spans="1:16" x14ac:dyDescent="0.3">
      <c r="A28" s="1" t="s">
        <v>903</v>
      </c>
      <c r="B28" s="2">
        <v>45426</v>
      </c>
      <c r="C28" s="2" t="str">
        <f>TEXT(E_Commerce_data[[#This Row],[order_date]],"MMM")</f>
        <v>May</v>
      </c>
      <c r="D28" s="1" t="s">
        <v>424</v>
      </c>
      <c r="E28" s="1" t="s">
        <v>425</v>
      </c>
      <c r="F28" s="1" t="s">
        <v>43</v>
      </c>
      <c r="G28" s="1" t="s">
        <v>32</v>
      </c>
      <c r="H28" s="2">
        <v>45489</v>
      </c>
      <c r="I28" s="1" t="s">
        <v>900</v>
      </c>
      <c r="J28" s="1" t="s">
        <v>901</v>
      </c>
      <c r="K28" s="1" t="s">
        <v>902</v>
      </c>
      <c r="L28" s="1">
        <v>42988.79</v>
      </c>
      <c r="M28" s="1">
        <v>3</v>
      </c>
      <c r="N28" s="1">
        <v>0</v>
      </c>
      <c r="O28" s="1">
        <v>128966.37</v>
      </c>
      <c r="P28" s="1">
        <v>16724.919999999998</v>
      </c>
    </row>
    <row r="29" spans="1:16" x14ac:dyDescent="0.3">
      <c r="A29" s="1" t="s">
        <v>638</v>
      </c>
      <c r="B29" s="2">
        <v>45366</v>
      </c>
      <c r="C29" s="2" t="str">
        <f>TEXT(E_Commerce_data[[#This Row],[order_date]],"MMM")</f>
        <v>Mar</v>
      </c>
      <c r="D29" s="1" t="s">
        <v>444</v>
      </c>
      <c r="E29" s="1" t="s">
        <v>445</v>
      </c>
      <c r="F29" s="1" t="s">
        <v>76</v>
      </c>
      <c r="G29" s="1" t="s">
        <v>32</v>
      </c>
      <c r="H29" s="2">
        <v>45123</v>
      </c>
      <c r="I29" s="1" t="s">
        <v>633</v>
      </c>
      <c r="J29" s="1" t="s">
        <v>634</v>
      </c>
      <c r="K29" s="1" t="s">
        <v>560</v>
      </c>
      <c r="L29" s="1">
        <v>3596.1</v>
      </c>
      <c r="M29" s="1">
        <v>3</v>
      </c>
      <c r="N29" s="1">
        <v>0.05</v>
      </c>
      <c r="O29" s="1">
        <v>10248.879999999999</v>
      </c>
      <c r="P29" s="1">
        <v>1484.58</v>
      </c>
    </row>
    <row r="30" spans="1:16" x14ac:dyDescent="0.3">
      <c r="A30" s="1" t="s">
        <v>762</v>
      </c>
      <c r="B30" s="2">
        <v>45868</v>
      </c>
      <c r="C30" s="2" t="str">
        <f>TEXT(E_Commerce_data[[#This Row],[order_date]],"MMM")</f>
        <v>Jul</v>
      </c>
      <c r="D30" s="1" t="s">
        <v>366</v>
      </c>
      <c r="E30" s="1" t="s">
        <v>367</v>
      </c>
      <c r="F30" s="1" t="s">
        <v>47</v>
      </c>
      <c r="G30" s="1" t="s">
        <v>48</v>
      </c>
      <c r="H30" s="2">
        <v>45144</v>
      </c>
      <c r="I30" s="1" t="s">
        <v>763</v>
      </c>
      <c r="J30" s="1" t="s">
        <v>764</v>
      </c>
      <c r="K30" s="1" t="s">
        <v>560</v>
      </c>
      <c r="L30" s="1">
        <v>11485.64</v>
      </c>
      <c r="M30" s="1">
        <v>1</v>
      </c>
      <c r="N30" s="1">
        <v>0.05</v>
      </c>
      <c r="O30" s="1">
        <v>10911.36</v>
      </c>
      <c r="P30" s="1">
        <v>2578.88</v>
      </c>
    </row>
    <row r="31" spans="1:16" x14ac:dyDescent="0.3">
      <c r="A31" s="1" t="s">
        <v>561</v>
      </c>
      <c r="B31" s="2">
        <v>45810</v>
      </c>
      <c r="C31" s="2" t="str">
        <f>TEXT(E_Commerce_data[[#This Row],[order_date]],"MMM")</f>
        <v>Jun</v>
      </c>
      <c r="D31" s="1" t="s">
        <v>99</v>
      </c>
      <c r="E31" s="1" t="s">
        <v>100</v>
      </c>
      <c r="F31" s="1" t="s">
        <v>43</v>
      </c>
      <c r="G31" s="1" t="s">
        <v>32</v>
      </c>
      <c r="H31" s="2">
        <v>45468</v>
      </c>
      <c r="I31" s="1" t="s">
        <v>558</v>
      </c>
      <c r="J31" s="1" t="s">
        <v>559</v>
      </c>
      <c r="K31" s="1" t="s">
        <v>560</v>
      </c>
      <c r="L31" s="1">
        <v>11049.86</v>
      </c>
      <c r="M31" s="1">
        <v>1</v>
      </c>
      <c r="N31" s="1">
        <v>0</v>
      </c>
      <c r="O31" s="1">
        <v>11049.86</v>
      </c>
      <c r="P31" s="1">
        <v>2334.73</v>
      </c>
    </row>
    <row r="32" spans="1:16" x14ac:dyDescent="0.3">
      <c r="A32" s="1" t="s">
        <v>562</v>
      </c>
      <c r="B32" s="2">
        <v>45362</v>
      </c>
      <c r="C32" s="2" t="str">
        <f>TEXT(E_Commerce_data[[#This Row],[order_date]],"MMM")</f>
        <v>Mar</v>
      </c>
      <c r="D32" s="1" t="s">
        <v>38</v>
      </c>
      <c r="E32" s="1" t="s">
        <v>39</v>
      </c>
      <c r="F32" s="1" t="s">
        <v>18</v>
      </c>
      <c r="G32" s="1" t="s">
        <v>19</v>
      </c>
      <c r="H32" s="2">
        <v>45069</v>
      </c>
      <c r="I32" s="1" t="s">
        <v>558</v>
      </c>
      <c r="J32" s="1" t="s">
        <v>559</v>
      </c>
      <c r="K32" s="1" t="s">
        <v>560</v>
      </c>
      <c r="L32" s="1">
        <v>11049.86</v>
      </c>
      <c r="M32" s="1">
        <v>3</v>
      </c>
      <c r="N32" s="1">
        <v>0</v>
      </c>
      <c r="O32" s="1">
        <v>33149.58</v>
      </c>
      <c r="P32" s="1">
        <v>10938.63</v>
      </c>
    </row>
    <row r="33" spans="1:16" x14ac:dyDescent="0.3">
      <c r="A33" s="1" t="s">
        <v>488</v>
      </c>
      <c r="B33" s="2">
        <v>45740</v>
      </c>
      <c r="C33" s="2" t="str">
        <f>TEXT(E_Commerce_data[[#This Row],[order_date]],"MMM")</f>
        <v>Mar</v>
      </c>
      <c r="D33" s="1" t="s">
        <v>384</v>
      </c>
      <c r="E33" s="1" t="s">
        <v>385</v>
      </c>
      <c r="F33" s="1" t="s">
        <v>93</v>
      </c>
      <c r="G33" s="1" t="s">
        <v>27</v>
      </c>
      <c r="H33" s="2">
        <v>45055</v>
      </c>
      <c r="I33" s="1" t="s">
        <v>489</v>
      </c>
      <c r="J33" s="1" t="s">
        <v>490</v>
      </c>
      <c r="K33" s="1" t="s">
        <v>22</v>
      </c>
      <c r="L33" s="1">
        <v>11544.23</v>
      </c>
      <c r="M33" s="1">
        <v>2</v>
      </c>
      <c r="N33" s="1">
        <v>0</v>
      </c>
      <c r="O33" s="1">
        <v>23088.46</v>
      </c>
      <c r="P33" s="1">
        <v>3128.4</v>
      </c>
    </row>
    <row r="34" spans="1:16" x14ac:dyDescent="0.3">
      <c r="A34" s="1" t="s">
        <v>1164</v>
      </c>
      <c r="B34" s="2">
        <v>45961</v>
      </c>
      <c r="C34" s="2" t="str">
        <f>TEXT(E_Commerce_data[[#This Row],[order_date]],"MMM")</f>
        <v>Oct</v>
      </c>
      <c r="D34" s="1" t="s">
        <v>192</v>
      </c>
      <c r="E34" s="1" t="s">
        <v>193</v>
      </c>
      <c r="F34" s="1" t="s">
        <v>55</v>
      </c>
      <c r="G34" s="1" t="s">
        <v>27</v>
      </c>
      <c r="H34" s="2">
        <v>45448</v>
      </c>
      <c r="I34" s="1" t="s">
        <v>1162</v>
      </c>
      <c r="J34" s="1" t="s">
        <v>1163</v>
      </c>
      <c r="K34" s="1" t="s">
        <v>902</v>
      </c>
      <c r="L34" s="1">
        <v>10751.13</v>
      </c>
      <c r="M34" s="1">
        <v>5</v>
      </c>
      <c r="N34" s="1">
        <v>0.15</v>
      </c>
      <c r="O34" s="1">
        <v>45692.3</v>
      </c>
      <c r="P34" s="1">
        <v>6431.43</v>
      </c>
    </row>
    <row r="35" spans="1:16" x14ac:dyDescent="0.3">
      <c r="A35" s="1" t="s">
        <v>1165</v>
      </c>
      <c r="B35" s="2">
        <v>45859</v>
      </c>
      <c r="C35" s="2" t="str">
        <f>TEXT(E_Commerce_data[[#This Row],[order_date]],"MMM")</f>
        <v>Jul</v>
      </c>
      <c r="D35" s="1" t="s">
        <v>82</v>
      </c>
      <c r="E35" s="1" t="s">
        <v>83</v>
      </c>
      <c r="F35" s="1" t="s">
        <v>47</v>
      </c>
      <c r="G35" s="1" t="s">
        <v>48</v>
      </c>
      <c r="H35" s="2">
        <v>45279</v>
      </c>
      <c r="I35" s="1" t="s">
        <v>1162</v>
      </c>
      <c r="J35" s="1" t="s">
        <v>1163</v>
      </c>
      <c r="K35" s="1" t="s">
        <v>902</v>
      </c>
      <c r="L35" s="1">
        <v>10751.13</v>
      </c>
      <c r="M35" s="1">
        <v>5</v>
      </c>
      <c r="N35" s="1">
        <v>0</v>
      </c>
      <c r="O35" s="1">
        <v>53755.65</v>
      </c>
      <c r="P35" s="1">
        <v>13458.21</v>
      </c>
    </row>
    <row r="36" spans="1:16" x14ac:dyDescent="0.3">
      <c r="A36" s="1" t="s">
        <v>1166</v>
      </c>
      <c r="B36" s="2">
        <v>45429</v>
      </c>
      <c r="C36" s="2" t="str">
        <f>TEXT(E_Commerce_data[[#This Row],[order_date]],"MMM")</f>
        <v>May</v>
      </c>
      <c r="D36" s="1" t="s">
        <v>259</v>
      </c>
      <c r="E36" s="1" t="s">
        <v>260</v>
      </c>
      <c r="F36" s="1" t="s">
        <v>18</v>
      </c>
      <c r="G36" s="1" t="s">
        <v>19</v>
      </c>
      <c r="H36" s="2">
        <v>45444</v>
      </c>
      <c r="I36" s="1" t="s">
        <v>1162</v>
      </c>
      <c r="J36" s="1" t="s">
        <v>1163</v>
      </c>
      <c r="K36" s="1" t="s">
        <v>902</v>
      </c>
      <c r="L36" s="1">
        <v>10751.13</v>
      </c>
      <c r="M36" s="1">
        <v>3</v>
      </c>
      <c r="N36" s="1">
        <v>0.15</v>
      </c>
      <c r="O36" s="1">
        <v>27415.38</v>
      </c>
      <c r="P36" s="1">
        <v>2222.73</v>
      </c>
    </row>
    <row r="37" spans="1:16" x14ac:dyDescent="0.3">
      <c r="A37" s="1" t="s">
        <v>491</v>
      </c>
      <c r="B37" s="2">
        <v>45858</v>
      </c>
      <c r="C37" s="2" t="str">
        <f>TEXT(E_Commerce_data[[#This Row],[order_date]],"MMM")</f>
        <v>Jul</v>
      </c>
      <c r="D37" s="1" t="s">
        <v>344</v>
      </c>
      <c r="E37" s="1" t="s">
        <v>345</v>
      </c>
      <c r="F37" s="1" t="s">
        <v>93</v>
      </c>
      <c r="G37" s="1" t="s">
        <v>27</v>
      </c>
      <c r="H37" s="2">
        <v>45356</v>
      </c>
      <c r="I37" s="1" t="s">
        <v>489</v>
      </c>
      <c r="J37" s="1" t="s">
        <v>490</v>
      </c>
      <c r="K37" s="1" t="s">
        <v>22</v>
      </c>
      <c r="L37" s="1">
        <v>11544.23</v>
      </c>
      <c r="M37" s="1">
        <v>3</v>
      </c>
      <c r="N37" s="1">
        <v>0</v>
      </c>
      <c r="O37" s="1">
        <v>34632.69</v>
      </c>
      <c r="P37" s="1">
        <v>10975.58</v>
      </c>
    </row>
    <row r="38" spans="1:16" x14ac:dyDescent="0.3">
      <c r="A38" s="1" t="s">
        <v>1036</v>
      </c>
      <c r="B38" s="2">
        <v>45507</v>
      </c>
      <c r="C38" s="2" t="str">
        <f>TEXT(E_Commerce_data[[#This Row],[order_date]],"MMM")</f>
        <v>Aug</v>
      </c>
      <c r="D38" s="1" t="s">
        <v>324</v>
      </c>
      <c r="E38" s="1" t="s">
        <v>325</v>
      </c>
      <c r="F38" s="1" t="s">
        <v>55</v>
      </c>
      <c r="G38" s="1" t="s">
        <v>27</v>
      </c>
      <c r="H38" s="2">
        <v>45473</v>
      </c>
      <c r="I38" s="1" t="s">
        <v>1034</v>
      </c>
      <c r="J38" s="1" t="s">
        <v>1035</v>
      </c>
      <c r="K38" s="1" t="s">
        <v>902</v>
      </c>
      <c r="L38" s="1">
        <v>11938.33</v>
      </c>
      <c r="M38" s="1">
        <v>2</v>
      </c>
      <c r="N38" s="1">
        <v>0</v>
      </c>
      <c r="O38" s="1">
        <v>23876.66</v>
      </c>
      <c r="P38" s="1">
        <v>3212.05</v>
      </c>
    </row>
    <row r="39" spans="1:16" x14ac:dyDescent="0.3">
      <c r="A39" s="1" t="s">
        <v>828</v>
      </c>
      <c r="B39" s="2">
        <v>45562</v>
      </c>
      <c r="C39" s="2" t="str">
        <f>TEXT(E_Commerce_data[[#This Row],[order_date]],"MMM")</f>
        <v>Sep</v>
      </c>
      <c r="D39" s="1" t="s">
        <v>109</v>
      </c>
      <c r="E39" s="1" t="s">
        <v>110</v>
      </c>
      <c r="F39" s="1" t="s">
        <v>31</v>
      </c>
      <c r="G39" s="1" t="s">
        <v>32</v>
      </c>
      <c r="H39" s="2">
        <v>45026</v>
      </c>
      <c r="I39" s="1" t="s">
        <v>822</v>
      </c>
      <c r="J39" s="1" t="s">
        <v>823</v>
      </c>
      <c r="K39" s="1" t="s">
        <v>560</v>
      </c>
      <c r="L39" s="1">
        <v>45275.73</v>
      </c>
      <c r="M39" s="1">
        <v>3</v>
      </c>
      <c r="N39" s="1">
        <v>0</v>
      </c>
      <c r="O39" s="1">
        <v>135827.19</v>
      </c>
      <c r="P39" s="1">
        <v>34805.599999999999</v>
      </c>
    </row>
    <row r="40" spans="1:16" x14ac:dyDescent="0.3">
      <c r="A40" s="1" t="s">
        <v>492</v>
      </c>
      <c r="B40" s="2">
        <v>45344</v>
      </c>
      <c r="C40" s="2" t="str">
        <f>TEXT(E_Commerce_data[[#This Row],[order_date]],"MMM")</f>
        <v>Feb</v>
      </c>
      <c r="D40" s="1" t="s">
        <v>338</v>
      </c>
      <c r="E40" s="1" t="s">
        <v>339</v>
      </c>
      <c r="F40" s="1" t="s">
        <v>93</v>
      </c>
      <c r="G40" s="1" t="s">
        <v>27</v>
      </c>
      <c r="H40" s="2">
        <v>45016</v>
      </c>
      <c r="I40" s="1" t="s">
        <v>489</v>
      </c>
      <c r="J40" s="1" t="s">
        <v>490</v>
      </c>
      <c r="K40" s="1" t="s">
        <v>22</v>
      </c>
      <c r="L40" s="1">
        <v>11544.23</v>
      </c>
      <c r="M40" s="1">
        <v>5</v>
      </c>
      <c r="N40" s="1">
        <v>0.05</v>
      </c>
      <c r="O40" s="1">
        <v>54835.09</v>
      </c>
      <c r="P40" s="1">
        <v>6872.83</v>
      </c>
    </row>
    <row r="41" spans="1:16" x14ac:dyDescent="0.3">
      <c r="A41" s="1" t="s">
        <v>422</v>
      </c>
      <c r="B41" s="2">
        <v>45575</v>
      </c>
      <c r="C41" s="2" t="str">
        <f>TEXT(E_Commerce_data[[#This Row],[order_date]],"MMM")</f>
        <v>Oct</v>
      </c>
      <c r="D41" s="1" t="s">
        <v>121</v>
      </c>
      <c r="E41" s="1" t="s">
        <v>122</v>
      </c>
      <c r="F41" s="1" t="s">
        <v>26</v>
      </c>
      <c r="G41" s="1" t="s">
        <v>27</v>
      </c>
      <c r="H41" s="2">
        <v>44994</v>
      </c>
      <c r="I41" s="1" t="s">
        <v>420</v>
      </c>
      <c r="J41" s="1" t="s">
        <v>421</v>
      </c>
      <c r="K41" s="1" t="s">
        <v>22</v>
      </c>
      <c r="L41" s="1">
        <v>29436.02</v>
      </c>
      <c r="M41" s="1">
        <v>1</v>
      </c>
      <c r="N41" s="1">
        <v>0.15</v>
      </c>
      <c r="O41" s="1">
        <v>25020.62</v>
      </c>
      <c r="P41" s="1">
        <v>4430.47</v>
      </c>
    </row>
    <row r="42" spans="1:16" x14ac:dyDescent="0.3">
      <c r="A42" s="1" t="s">
        <v>423</v>
      </c>
      <c r="B42" s="2">
        <v>45425</v>
      </c>
      <c r="C42" s="2" t="str">
        <f>TEXT(E_Commerce_data[[#This Row],[order_date]],"MMM")</f>
        <v>May</v>
      </c>
      <c r="D42" s="1" t="s">
        <v>424</v>
      </c>
      <c r="E42" s="1" t="s">
        <v>425</v>
      </c>
      <c r="F42" s="1" t="s">
        <v>43</v>
      </c>
      <c r="G42" s="1" t="s">
        <v>32</v>
      </c>
      <c r="H42" s="2">
        <v>45489</v>
      </c>
      <c r="I42" s="1" t="s">
        <v>420</v>
      </c>
      <c r="J42" s="1" t="s">
        <v>421</v>
      </c>
      <c r="K42" s="1" t="s">
        <v>22</v>
      </c>
      <c r="L42" s="1">
        <v>29436.02</v>
      </c>
      <c r="M42" s="1">
        <v>1</v>
      </c>
      <c r="N42" s="1">
        <v>0</v>
      </c>
      <c r="O42" s="1">
        <v>29436.02</v>
      </c>
      <c r="P42" s="1">
        <v>4417.37</v>
      </c>
    </row>
    <row r="43" spans="1:16" x14ac:dyDescent="0.3">
      <c r="A43" s="1" t="s">
        <v>317</v>
      </c>
      <c r="B43" s="2">
        <v>45856</v>
      </c>
      <c r="C43" s="2" t="str">
        <f>TEXT(E_Commerce_data[[#This Row],[order_date]],"MMM")</f>
        <v>Jul</v>
      </c>
      <c r="D43" s="1" t="s">
        <v>318</v>
      </c>
      <c r="E43" s="1" t="s">
        <v>319</v>
      </c>
      <c r="F43" s="1" t="s">
        <v>93</v>
      </c>
      <c r="G43" s="1" t="s">
        <v>27</v>
      </c>
      <c r="H43" s="2">
        <v>45054</v>
      </c>
      <c r="I43" s="1" t="s">
        <v>315</v>
      </c>
      <c r="J43" s="1" t="s">
        <v>316</v>
      </c>
      <c r="K43" s="1" t="s">
        <v>22</v>
      </c>
      <c r="L43" s="1">
        <v>16937.37</v>
      </c>
      <c r="M43" s="1">
        <v>3</v>
      </c>
      <c r="N43" s="1">
        <v>0</v>
      </c>
      <c r="O43" s="1">
        <v>50812.11</v>
      </c>
      <c r="P43" s="1">
        <v>13839.66</v>
      </c>
    </row>
    <row r="44" spans="1:16" x14ac:dyDescent="0.3">
      <c r="A44" s="1" t="s">
        <v>765</v>
      </c>
      <c r="B44" s="2">
        <v>45369</v>
      </c>
      <c r="C44" s="2" t="str">
        <f>TEXT(E_Commerce_data[[#This Row],[order_date]],"MMM")</f>
        <v>Mar</v>
      </c>
      <c r="D44" s="1" t="s">
        <v>147</v>
      </c>
      <c r="E44" s="1" t="s">
        <v>148</v>
      </c>
      <c r="F44" s="1" t="s">
        <v>36</v>
      </c>
      <c r="G44" s="1" t="s">
        <v>32</v>
      </c>
      <c r="H44" s="2">
        <v>45090</v>
      </c>
      <c r="I44" s="1" t="s">
        <v>763</v>
      </c>
      <c r="J44" s="1" t="s">
        <v>764</v>
      </c>
      <c r="K44" s="1" t="s">
        <v>560</v>
      </c>
      <c r="L44" s="1">
        <v>11485.64</v>
      </c>
      <c r="M44" s="1">
        <v>4</v>
      </c>
      <c r="N44" s="1">
        <v>0.1</v>
      </c>
      <c r="O44" s="1">
        <v>41348.300000000003</v>
      </c>
      <c r="P44" s="1">
        <v>2187.36</v>
      </c>
    </row>
    <row r="45" spans="1:16" x14ac:dyDescent="0.3">
      <c r="A45" s="1" t="s">
        <v>563</v>
      </c>
      <c r="B45" s="2">
        <v>45670</v>
      </c>
      <c r="C45" s="2" t="str">
        <f>TEXT(E_Commerce_data[[#This Row],[order_date]],"MMM")</f>
        <v>Jan</v>
      </c>
      <c r="D45" s="1" t="s">
        <v>564</v>
      </c>
      <c r="E45" s="1" t="s">
        <v>565</v>
      </c>
      <c r="F45" s="1" t="s">
        <v>55</v>
      </c>
      <c r="G45" s="1" t="s">
        <v>27</v>
      </c>
      <c r="H45" s="2">
        <v>45569</v>
      </c>
      <c r="I45" s="1" t="s">
        <v>558</v>
      </c>
      <c r="J45" s="1" t="s">
        <v>559</v>
      </c>
      <c r="K45" s="1" t="s">
        <v>560</v>
      </c>
      <c r="L45" s="1">
        <v>11049.86</v>
      </c>
      <c r="M45" s="1">
        <v>2</v>
      </c>
      <c r="N45" s="1">
        <v>0.1</v>
      </c>
      <c r="O45" s="1">
        <v>19889.75</v>
      </c>
      <c r="P45" s="1">
        <v>1209.46</v>
      </c>
    </row>
    <row r="46" spans="1:16" x14ac:dyDescent="0.3">
      <c r="A46" s="1" t="s">
        <v>1101</v>
      </c>
      <c r="B46" s="2">
        <v>45422</v>
      </c>
      <c r="C46" s="2" t="str">
        <f>TEXT(E_Commerce_data[[#This Row],[order_date]],"MMM")</f>
        <v>May</v>
      </c>
      <c r="D46" s="1" t="s">
        <v>361</v>
      </c>
      <c r="E46" s="1" t="s">
        <v>362</v>
      </c>
      <c r="F46" s="1" t="s">
        <v>93</v>
      </c>
      <c r="G46" s="1" t="s">
        <v>27</v>
      </c>
      <c r="H46" s="2">
        <v>45227</v>
      </c>
      <c r="I46" s="1" t="s">
        <v>1102</v>
      </c>
      <c r="J46" s="1" t="s">
        <v>1103</v>
      </c>
      <c r="K46" s="1" t="s">
        <v>902</v>
      </c>
      <c r="L46" s="1">
        <v>33465.440000000002</v>
      </c>
      <c r="M46" s="1">
        <v>5</v>
      </c>
      <c r="N46" s="1">
        <v>0.1</v>
      </c>
      <c r="O46" s="1">
        <v>150594.48000000001</v>
      </c>
      <c r="P46" s="1">
        <v>14220.36</v>
      </c>
    </row>
    <row r="47" spans="1:16" x14ac:dyDescent="0.3">
      <c r="A47" s="1" t="s">
        <v>969</v>
      </c>
      <c r="B47" s="2">
        <v>45332</v>
      </c>
      <c r="C47" s="2" t="str">
        <f>TEXT(E_Commerce_data[[#This Row],[order_date]],"MMM")</f>
        <v>Feb</v>
      </c>
      <c r="D47" s="1" t="s">
        <v>78</v>
      </c>
      <c r="E47" s="1" t="s">
        <v>79</v>
      </c>
      <c r="F47" s="1" t="s">
        <v>76</v>
      </c>
      <c r="G47" s="1" t="s">
        <v>32</v>
      </c>
      <c r="H47" s="2">
        <v>45365</v>
      </c>
      <c r="I47" s="1" t="s">
        <v>964</v>
      </c>
      <c r="J47" s="1" t="s">
        <v>965</v>
      </c>
      <c r="K47" s="1" t="s">
        <v>902</v>
      </c>
      <c r="L47" s="1">
        <v>3589.32</v>
      </c>
      <c r="M47" s="1">
        <v>1</v>
      </c>
      <c r="N47" s="1">
        <v>0</v>
      </c>
      <c r="O47" s="1">
        <v>3589.32</v>
      </c>
      <c r="P47" s="1">
        <v>572.12</v>
      </c>
    </row>
    <row r="48" spans="1:16" x14ac:dyDescent="0.3">
      <c r="A48" s="1" t="s">
        <v>829</v>
      </c>
      <c r="B48" s="2">
        <v>45974</v>
      </c>
      <c r="C48" s="2" t="str">
        <f>TEXT(E_Commerce_data[[#This Row],[order_date]],"MMM")</f>
        <v>Nov</v>
      </c>
      <c r="D48" s="1" t="s">
        <v>29</v>
      </c>
      <c r="E48" s="1" t="s">
        <v>30</v>
      </c>
      <c r="F48" s="1" t="s">
        <v>31</v>
      </c>
      <c r="G48" s="1" t="s">
        <v>32</v>
      </c>
      <c r="H48" s="2">
        <v>45537</v>
      </c>
      <c r="I48" s="1" t="s">
        <v>822</v>
      </c>
      <c r="J48" s="1" t="s">
        <v>823</v>
      </c>
      <c r="K48" s="1" t="s">
        <v>560</v>
      </c>
      <c r="L48" s="1">
        <v>45275.73</v>
      </c>
      <c r="M48" s="1">
        <v>3</v>
      </c>
      <c r="N48" s="1">
        <v>0</v>
      </c>
      <c r="O48" s="1">
        <v>135827.19</v>
      </c>
      <c r="P48" s="1">
        <v>34584.32</v>
      </c>
    </row>
    <row r="49" spans="1:16" x14ac:dyDescent="0.3">
      <c r="A49" s="1" t="s">
        <v>221</v>
      </c>
      <c r="B49" s="2">
        <v>45708</v>
      </c>
      <c r="C49" s="2" t="str">
        <f>TEXT(E_Commerce_data[[#This Row],[order_date]],"MMM")</f>
        <v>Feb</v>
      </c>
      <c r="D49" s="1" t="s">
        <v>222</v>
      </c>
      <c r="E49" s="1" t="s">
        <v>223</v>
      </c>
      <c r="F49" s="1" t="s">
        <v>72</v>
      </c>
      <c r="G49" s="1" t="s">
        <v>48</v>
      </c>
      <c r="H49" s="2">
        <v>45014</v>
      </c>
      <c r="I49" s="1" t="s">
        <v>215</v>
      </c>
      <c r="J49" s="1" t="s">
        <v>216</v>
      </c>
      <c r="K49" s="1" t="s">
        <v>22</v>
      </c>
      <c r="L49" s="1">
        <v>11273.63</v>
      </c>
      <c r="M49" s="1">
        <v>1</v>
      </c>
      <c r="N49" s="1">
        <v>0</v>
      </c>
      <c r="O49" s="1">
        <v>11273.63</v>
      </c>
      <c r="P49" s="1">
        <v>3202.1</v>
      </c>
    </row>
    <row r="50" spans="1:16" x14ac:dyDescent="0.3">
      <c r="A50" s="1" t="s">
        <v>830</v>
      </c>
      <c r="B50" s="2">
        <v>45534</v>
      </c>
      <c r="C50" s="2" t="str">
        <f>TEXT(E_Commerce_data[[#This Row],[order_date]],"MMM")</f>
        <v>Aug</v>
      </c>
      <c r="D50" s="1" t="s">
        <v>643</v>
      </c>
      <c r="E50" s="1" t="s">
        <v>644</v>
      </c>
      <c r="F50" s="1" t="s">
        <v>93</v>
      </c>
      <c r="G50" s="1" t="s">
        <v>27</v>
      </c>
      <c r="H50" s="2">
        <v>45130</v>
      </c>
      <c r="I50" s="1" t="s">
        <v>822</v>
      </c>
      <c r="J50" s="1" t="s">
        <v>823</v>
      </c>
      <c r="K50" s="1" t="s">
        <v>560</v>
      </c>
      <c r="L50" s="1">
        <v>45275.73</v>
      </c>
      <c r="M50" s="1">
        <v>5</v>
      </c>
      <c r="N50" s="1">
        <v>0.15</v>
      </c>
      <c r="O50" s="1">
        <v>192421.85</v>
      </c>
      <c r="P50" s="1">
        <v>18542.919999999998</v>
      </c>
    </row>
    <row r="51" spans="1:16" x14ac:dyDescent="0.3">
      <c r="A51" s="1" t="s">
        <v>426</v>
      </c>
      <c r="B51" s="2">
        <v>45714</v>
      </c>
      <c r="C51" s="2" t="str">
        <f>TEXT(E_Commerce_data[[#This Row],[order_date]],"MMM")</f>
        <v>Feb</v>
      </c>
      <c r="D51" s="1" t="s">
        <v>74</v>
      </c>
      <c r="E51" s="1" t="s">
        <v>75</v>
      </c>
      <c r="F51" s="1" t="s">
        <v>76</v>
      </c>
      <c r="G51" s="1" t="s">
        <v>32</v>
      </c>
      <c r="H51" s="2">
        <v>44954</v>
      </c>
      <c r="I51" s="1" t="s">
        <v>420</v>
      </c>
      <c r="J51" s="1" t="s">
        <v>421</v>
      </c>
      <c r="K51" s="1" t="s">
        <v>22</v>
      </c>
      <c r="L51" s="1">
        <v>29436.02</v>
      </c>
      <c r="M51" s="1">
        <v>2</v>
      </c>
      <c r="N51" s="1">
        <v>0.2</v>
      </c>
      <c r="O51" s="1">
        <v>47097.63</v>
      </c>
      <c r="P51" s="1">
        <v>13810.51</v>
      </c>
    </row>
    <row r="52" spans="1:16" x14ac:dyDescent="0.3">
      <c r="A52" s="1" t="s">
        <v>493</v>
      </c>
      <c r="B52" s="2">
        <v>45632</v>
      </c>
      <c r="C52" s="2" t="str">
        <f>TEXT(E_Commerce_data[[#This Row],[order_date]],"MMM")</f>
        <v>Dec</v>
      </c>
      <c r="D52" s="1" t="s">
        <v>335</v>
      </c>
      <c r="E52" s="1" t="s">
        <v>336</v>
      </c>
      <c r="F52" s="1" t="s">
        <v>43</v>
      </c>
      <c r="G52" s="1" t="s">
        <v>32</v>
      </c>
      <c r="H52" s="2">
        <v>45315</v>
      </c>
      <c r="I52" s="1" t="s">
        <v>489</v>
      </c>
      <c r="J52" s="1" t="s">
        <v>490</v>
      </c>
      <c r="K52" s="1" t="s">
        <v>22</v>
      </c>
      <c r="L52" s="1">
        <v>11544.23</v>
      </c>
      <c r="M52" s="1">
        <v>1</v>
      </c>
      <c r="N52" s="1">
        <v>0</v>
      </c>
      <c r="O52" s="1">
        <v>11544.23</v>
      </c>
      <c r="P52" s="1">
        <v>3128.13</v>
      </c>
    </row>
    <row r="53" spans="1:16" x14ac:dyDescent="0.3">
      <c r="A53" s="1" t="s">
        <v>831</v>
      </c>
      <c r="B53" s="2">
        <v>45546</v>
      </c>
      <c r="C53" s="2" t="str">
        <f>TEXT(E_Commerce_data[[#This Row],[order_date]],"MMM")</f>
        <v>Sep</v>
      </c>
      <c r="D53" s="1" t="s">
        <v>287</v>
      </c>
      <c r="E53" s="1" t="s">
        <v>288</v>
      </c>
      <c r="F53" s="1" t="s">
        <v>18</v>
      </c>
      <c r="G53" s="1" t="s">
        <v>19</v>
      </c>
      <c r="H53" s="2">
        <v>44959</v>
      </c>
      <c r="I53" s="1" t="s">
        <v>822</v>
      </c>
      <c r="J53" s="1" t="s">
        <v>823</v>
      </c>
      <c r="K53" s="1" t="s">
        <v>560</v>
      </c>
      <c r="L53" s="1">
        <v>45275.73</v>
      </c>
      <c r="M53" s="1">
        <v>4</v>
      </c>
      <c r="N53" s="1">
        <v>0.2</v>
      </c>
      <c r="O53" s="1">
        <v>144882.34</v>
      </c>
      <c r="P53" s="1">
        <v>36361.43</v>
      </c>
    </row>
    <row r="54" spans="1:16" x14ac:dyDescent="0.3">
      <c r="A54" s="1" t="s">
        <v>639</v>
      </c>
      <c r="B54" s="2">
        <v>45402</v>
      </c>
      <c r="C54" s="2" t="str">
        <f>TEXT(E_Commerce_data[[#This Row],[order_date]],"MMM")</f>
        <v>Apr</v>
      </c>
      <c r="D54" s="1" t="s">
        <v>266</v>
      </c>
      <c r="E54" s="1" t="s">
        <v>267</v>
      </c>
      <c r="F54" s="1" t="s">
        <v>72</v>
      </c>
      <c r="G54" s="1" t="s">
        <v>48</v>
      </c>
      <c r="H54" s="2">
        <v>45316</v>
      </c>
      <c r="I54" s="1" t="s">
        <v>633</v>
      </c>
      <c r="J54" s="1" t="s">
        <v>634</v>
      </c>
      <c r="K54" s="1" t="s">
        <v>560</v>
      </c>
      <c r="L54" s="1">
        <v>3596.1</v>
      </c>
      <c r="M54" s="1">
        <v>3</v>
      </c>
      <c r="N54" s="1">
        <v>0</v>
      </c>
      <c r="O54" s="1">
        <v>10788.3</v>
      </c>
      <c r="P54" s="1">
        <v>3087.74</v>
      </c>
    </row>
    <row r="55" spans="1:16" x14ac:dyDescent="0.3">
      <c r="A55" s="1" t="s">
        <v>494</v>
      </c>
      <c r="B55" s="2">
        <v>45773</v>
      </c>
      <c r="C55" s="2" t="str">
        <f>TEXT(E_Commerce_data[[#This Row],[order_date]],"MMM")</f>
        <v>Apr</v>
      </c>
      <c r="D55" s="1" t="s">
        <v>495</v>
      </c>
      <c r="E55" s="1" t="s">
        <v>496</v>
      </c>
      <c r="F55" s="1" t="s">
        <v>36</v>
      </c>
      <c r="G55" s="1" t="s">
        <v>32</v>
      </c>
      <c r="H55" s="2">
        <v>45623</v>
      </c>
      <c r="I55" s="1" t="s">
        <v>489</v>
      </c>
      <c r="J55" s="1" t="s">
        <v>490</v>
      </c>
      <c r="K55" s="1" t="s">
        <v>22</v>
      </c>
      <c r="L55" s="1">
        <v>11544.23</v>
      </c>
      <c r="M55" s="1">
        <v>4</v>
      </c>
      <c r="N55" s="1">
        <v>0.2</v>
      </c>
      <c r="O55" s="1">
        <v>36941.54</v>
      </c>
      <c r="P55" s="1">
        <v>2276.2399999999998</v>
      </c>
    </row>
    <row r="56" spans="1:16" x14ac:dyDescent="0.3">
      <c r="A56" s="1" t="s">
        <v>832</v>
      </c>
      <c r="B56" s="2">
        <v>45763</v>
      </c>
      <c r="C56" s="2" t="str">
        <f>TEXT(E_Commerce_data[[#This Row],[order_date]],"MMM")</f>
        <v>Apr</v>
      </c>
      <c r="D56" s="1" t="s">
        <v>209</v>
      </c>
      <c r="E56" s="1" t="s">
        <v>210</v>
      </c>
      <c r="F56" s="1" t="s">
        <v>18</v>
      </c>
      <c r="G56" s="1" t="s">
        <v>19</v>
      </c>
      <c r="H56" s="2">
        <v>45507</v>
      </c>
      <c r="I56" s="1" t="s">
        <v>822</v>
      </c>
      <c r="J56" s="1" t="s">
        <v>823</v>
      </c>
      <c r="K56" s="1" t="s">
        <v>560</v>
      </c>
      <c r="L56" s="1">
        <v>45275.73</v>
      </c>
      <c r="M56" s="1">
        <v>2</v>
      </c>
      <c r="N56" s="1">
        <v>0</v>
      </c>
      <c r="O56" s="1">
        <v>90551.46</v>
      </c>
      <c r="P56" s="1">
        <v>26710.51</v>
      </c>
    </row>
    <row r="57" spans="1:16" x14ac:dyDescent="0.3">
      <c r="A57" s="1" t="s">
        <v>970</v>
      </c>
      <c r="B57" s="2">
        <v>45525</v>
      </c>
      <c r="C57" s="2" t="str">
        <f>TEXT(E_Commerce_data[[#This Row],[order_date]],"MMM")</f>
        <v>Aug</v>
      </c>
      <c r="D57" s="1" t="s">
        <v>248</v>
      </c>
      <c r="E57" s="1" t="s">
        <v>249</v>
      </c>
      <c r="F57" s="1" t="s">
        <v>72</v>
      </c>
      <c r="G57" s="1" t="s">
        <v>48</v>
      </c>
      <c r="H57" s="2">
        <v>45619</v>
      </c>
      <c r="I57" s="1" t="s">
        <v>964</v>
      </c>
      <c r="J57" s="1" t="s">
        <v>965</v>
      </c>
      <c r="K57" s="1" t="s">
        <v>902</v>
      </c>
      <c r="L57" s="1">
        <v>3589.32</v>
      </c>
      <c r="M57" s="1">
        <v>3</v>
      </c>
      <c r="N57" s="1">
        <v>0</v>
      </c>
      <c r="O57" s="1">
        <v>10767.96</v>
      </c>
      <c r="P57" s="1">
        <v>3189.05</v>
      </c>
    </row>
    <row r="58" spans="1:16" x14ac:dyDescent="0.3">
      <c r="A58" s="1" t="s">
        <v>28</v>
      </c>
      <c r="B58" s="2">
        <v>45700</v>
      </c>
      <c r="C58" s="2" t="str">
        <f>TEXT(E_Commerce_data[[#This Row],[order_date]],"MMM")</f>
        <v>Feb</v>
      </c>
      <c r="D58" s="1" t="s">
        <v>29</v>
      </c>
      <c r="E58" s="1" t="s">
        <v>30</v>
      </c>
      <c r="F58" s="1" t="s">
        <v>31</v>
      </c>
      <c r="G58" s="1" t="s">
        <v>32</v>
      </c>
      <c r="H58" s="2">
        <v>45537</v>
      </c>
      <c r="I58" s="1" t="s">
        <v>20</v>
      </c>
      <c r="J58" s="1" t="s">
        <v>21</v>
      </c>
      <c r="K58" s="1" t="s">
        <v>22</v>
      </c>
      <c r="L58" s="1">
        <v>6094.16</v>
      </c>
      <c r="M58" s="1">
        <v>2</v>
      </c>
      <c r="N58" s="1">
        <v>0</v>
      </c>
      <c r="O58" s="1">
        <v>12188.32</v>
      </c>
      <c r="P58" s="1">
        <v>3022.82</v>
      </c>
    </row>
    <row r="59" spans="1:16" x14ac:dyDescent="0.3">
      <c r="A59" s="1" t="s">
        <v>1037</v>
      </c>
      <c r="B59" s="2">
        <v>45577</v>
      </c>
      <c r="C59" s="2" t="str">
        <f>TEXT(E_Commerce_data[[#This Row],[order_date]],"MMM")</f>
        <v>Oct</v>
      </c>
      <c r="D59" s="1" t="s">
        <v>171</v>
      </c>
      <c r="E59" s="1" t="s">
        <v>172</v>
      </c>
      <c r="F59" s="1" t="s">
        <v>47</v>
      </c>
      <c r="G59" s="1" t="s">
        <v>48</v>
      </c>
      <c r="H59" s="2">
        <v>45093</v>
      </c>
      <c r="I59" s="1" t="s">
        <v>1034</v>
      </c>
      <c r="J59" s="1" t="s">
        <v>1035</v>
      </c>
      <c r="K59" s="1" t="s">
        <v>902</v>
      </c>
      <c r="L59" s="1">
        <v>11938.33</v>
      </c>
      <c r="M59" s="1">
        <v>3</v>
      </c>
      <c r="N59" s="1">
        <v>0</v>
      </c>
      <c r="O59" s="1">
        <v>35814.99</v>
      </c>
      <c r="P59" s="1">
        <v>11077.79</v>
      </c>
    </row>
    <row r="60" spans="1:16" x14ac:dyDescent="0.3">
      <c r="A60" s="1" t="s">
        <v>224</v>
      </c>
      <c r="B60" s="2">
        <v>45987</v>
      </c>
      <c r="C60" s="2" t="str">
        <f>TEXT(E_Commerce_data[[#This Row],[order_date]],"MMM")</f>
        <v>Nov</v>
      </c>
      <c r="D60" s="1" t="s">
        <v>225</v>
      </c>
      <c r="E60" s="1" t="s">
        <v>226</v>
      </c>
      <c r="F60" s="1" t="s">
        <v>76</v>
      </c>
      <c r="G60" s="1" t="s">
        <v>32</v>
      </c>
      <c r="H60" s="2">
        <v>45335</v>
      </c>
      <c r="I60" s="1" t="s">
        <v>215</v>
      </c>
      <c r="J60" s="1" t="s">
        <v>216</v>
      </c>
      <c r="K60" s="1" t="s">
        <v>22</v>
      </c>
      <c r="L60" s="1">
        <v>11273.63</v>
      </c>
      <c r="M60" s="1">
        <v>3</v>
      </c>
      <c r="N60" s="1">
        <v>0.15</v>
      </c>
      <c r="O60" s="1">
        <v>28747.759999999998</v>
      </c>
      <c r="P60" s="1">
        <v>5830.67</v>
      </c>
    </row>
    <row r="61" spans="1:16" x14ac:dyDescent="0.3">
      <c r="A61" s="1" t="s">
        <v>904</v>
      </c>
      <c r="B61" s="2">
        <v>45410</v>
      </c>
      <c r="C61" s="2" t="str">
        <f>TEXT(E_Commerce_data[[#This Row],[order_date]],"MMM")</f>
        <v>Apr</v>
      </c>
      <c r="D61" s="1" t="s">
        <v>186</v>
      </c>
      <c r="E61" s="1" t="s">
        <v>187</v>
      </c>
      <c r="F61" s="1" t="s">
        <v>26</v>
      </c>
      <c r="G61" s="1" t="s">
        <v>27</v>
      </c>
      <c r="H61" s="2">
        <v>45493</v>
      </c>
      <c r="I61" s="1" t="s">
        <v>900</v>
      </c>
      <c r="J61" s="1" t="s">
        <v>901</v>
      </c>
      <c r="K61" s="1" t="s">
        <v>902</v>
      </c>
      <c r="L61" s="1">
        <v>42988.79</v>
      </c>
      <c r="M61" s="1">
        <v>5</v>
      </c>
      <c r="N61" s="1">
        <v>0</v>
      </c>
      <c r="O61" s="1">
        <v>214943.95</v>
      </c>
      <c r="P61" s="1">
        <v>71312.2</v>
      </c>
    </row>
    <row r="62" spans="1:16" x14ac:dyDescent="0.3">
      <c r="A62" s="1" t="s">
        <v>566</v>
      </c>
      <c r="B62" s="2">
        <v>45563</v>
      </c>
      <c r="C62" s="2" t="str">
        <f>TEXT(E_Commerce_data[[#This Row],[order_date]],"MMM")</f>
        <v>Sep</v>
      </c>
      <c r="D62" s="1" t="s">
        <v>70</v>
      </c>
      <c r="E62" s="1" t="s">
        <v>71</v>
      </c>
      <c r="F62" s="1" t="s">
        <v>72</v>
      </c>
      <c r="G62" s="1" t="s">
        <v>48</v>
      </c>
      <c r="H62" s="2">
        <v>45150</v>
      </c>
      <c r="I62" s="1" t="s">
        <v>558</v>
      </c>
      <c r="J62" s="1" t="s">
        <v>559</v>
      </c>
      <c r="K62" s="1" t="s">
        <v>560</v>
      </c>
      <c r="L62" s="1">
        <v>11049.86</v>
      </c>
      <c r="M62" s="1">
        <v>3</v>
      </c>
      <c r="N62" s="1">
        <v>0</v>
      </c>
      <c r="O62" s="1">
        <v>33149.58</v>
      </c>
      <c r="P62" s="1">
        <v>7431.37</v>
      </c>
    </row>
    <row r="63" spans="1:16" x14ac:dyDescent="0.3">
      <c r="A63" s="1" t="s">
        <v>709</v>
      </c>
      <c r="B63" s="2">
        <v>45645</v>
      </c>
      <c r="C63" s="2" t="str">
        <f>TEXT(E_Commerce_data[[#This Row],[order_date]],"MMM")</f>
        <v>Dec</v>
      </c>
      <c r="D63" s="1" t="s">
        <v>564</v>
      </c>
      <c r="E63" s="1" t="s">
        <v>565</v>
      </c>
      <c r="F63" s="1" t="s">
        <v>55</v>
      </c>
      <c r="G63" s="1" t="s">
        <v>27</v>
      </c>
      <c r="H63" s="2">
        <v>45569</v>
      </c>
      <c r="I63" s="1" t="s">
        <v>706</v>
      </c>
      <c r="J63" s="1" t="s">
        <v>707</v>
      </c>
      <c r="K63" s="1" t="s">
        <v>560</v>
      </c>
      <c r="L63" s="1">
        <v>31573.59</v>
      </c>
      <c r="M63" s="1">
        <v>1</v>
      </c>
      <c r="N63" s="1">
        <v>0</v>
      </c>
      <c r="O63" s="1">
        <v>31573.59</v>
      </c>
      <c r="P63" s="1">
        <v>7229.45</v>
      </c>
    </row>
    <row r="64" spans="1:16" x14ac:dyDescent="0.3">
      <c r="A64" s="1" t="s">
        <v>1167</v>
      </c>
      <c r="B64" s="2">
        <v>45815</v>
      </c>
      <c r="C64" s="2" t="str">
        <f>TEXT(E_Commerce_data[[#This Row],[order_date]],"MMM")</f>
        <v>Jun</v>
      </c>
      <c r="D64" s="1" t="s">
        <v>203</v>
      </c>
      <c r="E64" s="1" t="s">
        <v>204</v>
      </c>
      <c r="F64" s="1" t="s">
        <v>76</v>
      </c>
      <c r="G64" s="1" t="s">
        <v>32</v>
      </c>
      <c r="H64" s="2">
        <v>45297</v>
      </c>
      <c r="I64" s="1" t="s">
        <v>1162</v>
      </c>
      <c r="J64" s="1" t="s">
        <v>1163</v>
      </c>
      <c r="K64" s="1" t="s">
        <v>902</v>
      </c>
      <c r="L64" s="1">
        <v>10751.13</v>
      </c>
      <c r="M64" s="1">
        <v>3</v>
      </c>
      <c r="N64" s="1">
        <v>0.05</v>
      </c>
      <c r="O64" s="1">
        <v>30640.720000000001</v>
      </c>
      <c r="P64" s="1">
        <v>7104.44</v>
      </c>
    </row>
    <row r="65" spans="1:16" x14ac:dyDescent="0.3">
      <c r="A65" s="1" t="s">
        <v>497</v>
      </c>
      <c r="B65" s="2">
        <v>45486</v>
      </c>
      <c r="C65" s="2" t="str">
        <f>TEXT(E_Commerce_data[[#This Row],[order_date]],"MMM")</f>
        <v>Jul</v>
      </c>
      <c r="D65" s="1" t="s">
        <v>186</v>
      </c>
      <c r="E65" s="1" t="s">
        <v>187</v>
      </c>
      <c r="F65" s="1" t="s">
        <v>26</v>
      </c>
      <c r="G65" s="1" t="s">
        <v>27</v>
      </c>
      <c r="H65" s="2">
        <v>45493</v>
      </c>
      <c r="I65" s="1" t="s">
        <v>489</v>
      </c>
      <c r="J65" s="1" t="s">
        <v>490</v>
      </c>
      <c r="K65" s="1" t="s">
        <v>22</v>
      </c>
      <c r="L65" s="1">
        <v>11544.23</v>
      </c>
      <c r="M65" s="1">
        <v>1</v>
      </c>
      <c r="N65" s="1">
        <v>0.05</v>
      </c>
      <c r="O65" s="1">
        <v>10967.02</v>
      </c>
      <c r="P65" s="1">
        <v>3507.82</v>
      </c>
    </row>
    <row r="66" spans="1:16" x14ac:dyDescent="0.3">
      <c r="A66" s="1" t="s">
        <v>1168</v>
      </c>
      <c r="B66" s="2">
        <v>45293</v>
      </c>
      <c r="C66" s="2" t="str">
        <f>TEXT(E_Commerce_data[[#This Row],[order_date]],"MMM")</f>
        <v>Jan</v>
      </c>
      <c r="D66" s="1" t="s">
        <v>53</v>
      </c>
      <c r="E66" s="1" t="s">
        <v>54</v>
      </c>
      <c r="F66" s="1" t="s">
        <v>55</v>
      </c>
      <c r="G66" s="1" t="s">
        <v>27</v>
      </c>
      <c r="H66" s="2">
        <v>45623</v>
      </c>
      <c r="I66" s="1" t="s">
        <v>1162</v>
      </c>
      <c r="J66" s="1" t="s">
        <v>1163</v>
      </c>
      <c r="K66" s="1" t="s">
        <v>902</v>
      </c>
      <c r="L66" s="1">
        <v>10751.13</v>
      </c>
      <c r="M66" s="1">
        <v>3</v>
      </c>
      <c r="N66" s="1">
        <v>0</v>
      </c>
      <c r="O66" s="1">
        <v>32253.39</v>
      </c>
      <c r="P66" s="1">
        <v>8470.89</v>
      </c>
    </row>
    <row r="67" spans="1:16" x14ac:dyDescent="0.3">
      <c r="A67" s="1" t="s">
        <v>498</v>
      </c>
      <c r="B67" s="2">
        <v>45978</v>
      </c>
      <c r="C67" s="2" t="str">
        <f>TEXT(E_Commerce_data[[#This Row],[order_date]],"MMM")</f>
        <v>Nov</v>
      </c>
      <c r="D67" s="1" t="s">
        <v>387</v>
      </c>
      <c r="E67" s="1" t="s">
        <v>388</v>
      </c>
      <c r="F67" s="1" t="s">
        <v>26</v>
      </c>
      <c r="G67" s="1" t="s">
        <v>27</v>
      </c>
      <c r="H67" s="2">
        <v>45335</v>
      </c>
      <c r="I67" s="1" t="s">
        <v>489</v>
      </c>
      <c r="J67" s="1" t="s">
        <v>490</v>
      </c>
      <c r="K67" s="1" t="s">
        <v>22</v>
      </c>
      <c r="L67" s="1">
        <v>11544.23</v>
      </c>
      <c r="M67" s="1">
        <v>5</v>
      </c>
      <c r="N67" s="1">
        <v>0.2</v>
      </c>
      <c r="O67" s="1">
        <v>46176.92</v>
      </c>
      <c r="P67" s="1">
        <v>9768.06</v>
      </c>
    </row>
    <row r="68" spans="1:16" x14ac:dyDescent="0.3">
      <c r="A68" s="1" t="s">
        <v>227</v>
      </c>
      <c r="B68" s="2">
        <v>45972</v>
      </c>
      <c r="C68" s="2" t="str">
        <f>TEXT(E_Commerce_data[[#This Row],[order_date]],"MMM")</f>
        <v>Nov</v>
      </c>
      <c r="D68" s="1" t="s">
        <v>115</v>
      </c>
      <c r="E68" s="1" t="s">
        <v>116</v>
      </c>
      <c r="F68" s="1" t="s">
        <v>93</v>
      </c>
      <c r="G68" s="1" t="s">
        <v>27</v>
      </c>
      <c r="H68" s="2">
        <v>45196</v>
      </c>
      <c r="I68" s="1" t="s">
        <v>215</v>
      </c>
      <c r="J68" s="1" t="s">
        <v>216</v>
      </c>
      <c r="K68" s="1" t="s">
        <v>22</v>
      </c>
      <c r="L68" s="1">
        <v>11273.63</v>
      </c>
      <c r="M68" s="1">
        <v>2</v>
      </c>
      <c r="N68" s="1">
        <v>0</v>
      </c>
      <c r="O68" s="1">
        <v>22547.26</v>
      </c>
      <c r="P68" s="1">
        <v>4044.74</v>
      </c>
    </row>
    <row r="69" spans="1:16" x14ac:dyDescent="0.3">
      <c r="A69" s="1" t="s">
        <v>766</v>
      </c>
      <c r="B69" s="2">
        <v>45419</v>
      </c>
      <c r="C69" s="2" t="str">
        <f>TEXT(E_Commerce_data[[#This Row],[order_date]],"MMM")</f>
        <v>May</v>
      </c>
      <c r="D69" s="1" t="s">
        <v>415</v>
      </c>
      <c r="E69" s="1" t="s">
        <v>416</v>
      </c>
      <c r="F69" s="1" t="s">
        <v>26</v>
      </c>
      <c r="G69" s="1" t="s">
        <v>27</v>
      </c>
      <c r="H69" s="2">
        <v>45177</v>
      </c>
      <c r="I69" s="1" t="s">
        <v>763</v>
      </c>
      <c r="J69" s="1" t="s">
        <v>764</v>
      </c>
      <c r="K69" s="1" t="s">
        <v>560</v>
      </c>
      <c r="L69" s="1">
        <v>11485.64</v>
      </c>
      <c r="M69" s="1">
        <v>3</v>
      </c>
      <c r="N69" s="1">
        <v>0.1</v>
      </c>
      <c r="O69" s="1">
        <v>31011.23</v>
      </c>
      <c r="P69" s="1">
        <v>4471.03</v>
      </c>
    </row>
    <row r="70" spans="1:16" x14ac:dyDescent="0.3">
      <c r="A70" s="1" t="s">
        <v>228</v>
      </c>
      <c r="B70" s="2">
        <v>45710</v>
      </c>
      <c r="C70" s="2" t="str">
        <f>TEXT(E_Commerce_data[[#This Row],[order_date]],"MMM")</f>
        <v>Feb</v>
      </c>
      <c r="D70" s="1" t="s">
        <v>53</v>
      </c>
      <c r="E70" s="1" t="s">
        <v>54</v>
      </c>
      <c r="F70" s="1" t="s">
        <v>55</v>
      </c>
      <c r="G70" s="1" t="s">
        <v>27</v>
      </c>
      <c r="H70" s="2">
        <v>45623</v>
      </c>
      <c r="I70" s="1" t="s">
        <v>215</v>
      </c>
      <c r="J70" s="1" t="s">
        <v>216</v>
      </c>
      <c r="K70" s="1" t="s">
        <v>22</v>
      </c>
      <c r="L70" s="1">
        <v>11273.63</v>
      </c>
      <c r="M70" s="1">
        <v>3</v>
      </c>
      <c r="N70" s="1">
        <v>0.1</v>
      </c>
      <c r="O70" s="1">
        <v>30438.799999999999</v>
      </c>
      <c r="P70" s="1">
        <v>4346.22</v>
      </c>
    </row>
    <row r="71" spans="1:16" x14ac:dyDescent="0.3">
      <c r="A71" s="1" t="s">
        <v>1169</v>
      </c>
      <c r="B71" s="2">
        <v>45859</v>
      </c>
      <c r="C71" s="2" t="str">
        <f>TEXT(E_Commerce_data[[#This Row],[order_date]],"MMM")</f>
        <v>Jul</v>
      </c>
      <c r="D71" s="1" t="s">
        <v>269</v>
      </c>
      <c r="E71" s="1" t="s">
        <v>270</v>
      </c>
      <c r="F71" s="1" t="s">
        <v>18</v>
      </c>
      <c r="G71" s="1" t="s">
        <v>19</v>
      </c>
      <c r="H71" s="2">
        <v>45271</v>
      </c>
      <c r="I71" s="1" t="s">
        <v>1162</v>
      </c>
      <c r="J71" s="1" t="s">
        <v>1163</v>
      </c>
      <c r="K71" s="1" t="s">
        <v>902</v>
      </c>
      <c r="L71" s="1">
        <v>10751.13</v>
      </c>
      <c r="M71" s="1">
        <v>3</v>
      </c>
      <c r="N71" s="1">
        <v>0.05</v>
      </c>
      <c r="O71" s="1">
        <v>30640.720000000001</v>
      </c>
      <c r="P71" s="1">
        <v>7940.93</v>
      </c>
    </row>
    <row r="72" spans="1:16" x14ac:dyDescent="0.3">
      <c r="A72" s="1" t="s">
        <v>971</v>
      </c>
      <c r="B72" s="2">
        <v>45680</v>
      </c>
      <c r="C72" s="2" t="str">
        <f>TEXT(E_Commerce_data[[#This Row],[order_date]],"MMM")</f>
        <v>Jan</v>
      </c>
      <c r="D72" s="1" t="s">
        <v>195</v>
      </c>
      <c r="E72" s="1" t="s">
        <v>196</v>
      </c>
      <c r="F72" s="1" t="s">
        <v>72</v>
      </c>
      <c r="G72" s="1" t="s">
        <v>48</v>
      </c>
      <c r="H72" s="2">
        <v>45165</v>
      </c>
      <c r="I72" s="1" t="s">
        <v>964</v>
      </c>
      <c r="J72" s="1" t="s">
        <v>965</v>
      </c>
      <c r="K72" s="1" t="s">
        <v>902</v>
      </c>
      <c r="L72" s="1">
        <v>3589.32</v>
      </c>
      <c r="M72" s="1">
        <v>2</v>
      </c>
      <c r="N72" s="1">
        <v>0</v>
      </c>
      <c r="O72" s="1">
        <v>7178.64</v>
      </c>
      <c r="P72" s="1">
        <v>1264.4000000000001</v>
      </c>
    </row>
    <row r="73" spans="1:16" x14ac:dyDescent="0.3">
      <c r="A73" s="1" t="s">
        <v>833</v>
      </c>
      <c r="B73" s="2">
        <v>45707</v>
      </c>
      <c r="C73" s="2" t="str">
        <f>TEXT(E_Commerce_data[[#This Row],[order_date]],"MMM")</f>
        <v>Feb</v>
      </c>
      <c r="D73" s="1" t="s">
        <v>125</v>
      </c>
      <c r="E73" s="1" t="s">
        <v>126</v>
      </c>
      <c r="F73" s="1" t="s">
        <v>72</v>
      </c>
      <c r="G73" s="1" t="s">
        <v>48</v>
      </c>
      <c r="H73" s="2">
        <v>44952</v>
      </c>
      <c r="I73" s="1" t="s">
        <v>822</v>
      </c>
      <c r="J73" s="1" t="s">
        <v>823</v>
      </c>
      <c r="K73" s="1" t="s">
        <v>560</v>
      </c>
      <c r="L73" s="1">
        <v>45275.73</v>
      </c>
      <c r="M73" s="1">
        <v>2</v>
      </c>
      <c r="N73" s="1">
        <v>0.1</v>
      </c>
      <c r="O73" s="1">
        <v>81496.31</v>
      </c>
      <c r="P73" s="1">
        <v>17988.810000000001</v>
      </c>
    </row>
    <row r="74" spans="1:16" x14ac:dyDescent="0.3">
      <c r="A74" s="1" t="s">
        <v>1038</v>
      </c>
      <c r="B74" s="2">
        <v>45585</v>
      </c>
      <c r="C74" s="2" t="str">
        <f>TEXT(E_Commerce_data[[#This Row],[order_date]],"MMM")</f>
        <v>Oct</v>
      </c>
      <c r="D74" s="1" t="s">
        <v>85</v>
      </c>
      <c r="E74" s="1" t="s">
        <v>86</v>
      </c>
      <c r="F74" s="1" t="s">
        <v>36</v>
      </c>
      <c r="G74" s="1" t="s">
        <v>32</v>
      </c>
      <c r="H74" s="2">
        <v>44957</v>
      </c>
      <c r="I74" s="1" t="s">
        <v>1034</v>
      </c>
      <c r="J74" s="1" t="s">
        <v>1035</v>
      </c>
      <c r="K74" s="1" t="s">
        <v>902</v>
      </c>
      <c r="L74" s="1">
        <v>11938.33</v>
      </c>
      <c r="M74" s="1">
        <v>5</v>
      </c>
      <c r="N74" s="1">
        <v>0.2</v>
      </c>
      <c r="O74" s="1">
        <v>47753.32</v>
      </c>
      <c r="P74" s="1">
        <v>2393.48</v>
      </c>
    </row>
    <row r="75" spans="1:16" x14ac:dyDescent="0.3">
      <c r="A75" s="1" t="s">
        <v>767</v>
      </c>
      <c r="B75" s="2">
        <v>45913</v>
      </c>
      <c r="C75" s="2" t="str">
        <f>TEXT(E_Commerce_data[[#This Row],[order_date]],"MMM")</f>
        <v>Sep</v>
      </c>
      <c r="D75" s="1" t="s">
        <v>225</v>
      </c>
      <c r="E75" s="1" t="s">
        <v>226</v>
      </c>
      <c r="F75" s="1" t="s">
        <v>76</v>
      </c>
      <c r="G75" s="1" t="s">
        <v>32</v>
      </c>
      <c r="H75" s="2">
        <v>45335</v>
      </c>
      <c r="I75" s="1" t="s">
        <v>763</v>
      </c>
      <c r="J75" s="1" t="s">
        <v>764</v>
      </c>
      <c r="K75" s="1" t="s">
        <v>560</v>
      </c>
      <c r="L75" s="1">
        <v>11485.64</v>
      </c>
      <c r="M75" s="1">
        <v>2</v>
      </c>
      <c r="N75" s="1">
        <v>0.05</v>
      </c>
      <c r="O75" s="1">
        <v>21822.720000000001</v>
      </c>
      <c r="P75" s="1">
        <v>6235.35</v>
      </c>
    </row>
    <row r="76" spans="1:16" x14ac:dyDescent="0.3">
      <c r="A76" s="1" t="s">
        <v>33</v>
      </c>
      <c r="B76" s="2">
        <v>45983</v>
      </c>
      <c r="C76" s="2" t="str">
        <f>TEXT(E_Commerce_data[[#This Row],[order_date]],"MMM")</f>
        <v>Nov</v>
      </c>
      <c r="D76" s="1" t="s">
        <v>34</v>
      </c>
      <c r="E76" s="1" t="s">
        <v>35</v>
      </c>
      <c r="F76" s="1" t="s">
        <v>36</v>
      </c>
      <c r="G76" s="1" t="s">
        <v>32</v>
      </c>
      <c r="H76" s="2">
        <v>45041</v>
      </c>
      <c r="I76" s="1" t="s">
        <v>20</v>
      </c>
      <c r="J76" s="1" t="s">
        <v>21</v>
      </c>
      <c r="K76" s="1" t="s">
        <v>22</v>
      </c>
      <c r="L76" s="1">
        <v>6094.16</v>
      </c>
      <c r="M76" s="1">
        <v>3</v>
      </c>
      <c r="N76" s="1">
        <v>0.05</v>
      </c>
      <c r="O76" s="1">
        <v>17368.36</v>
      </c>
      <c r="P76" s="1">
        <v>3170.35</v>
      </c>
    </row>
    <row r="77" spans="1:16" x14ac:dyDescent="0.3">
      <c r="A77" s="1" t="s">
        <v>320</v>
      </c>
      <c r="B77" s="2">
        <v>45465</v>
      </c>
      <c r="C77" s="2" t="str">
        <f>TEXT(E_Commerce_data[[#This Row],[order_date]],"MMM")</f>
        <v>Jun</v>
      </c>
      <c r="D77" s="1" t="s">
        <v>259</v>
      </c>
      <c r="E77" s="1" t="s">
        <v>260</v>
      </c>
      <c r="F77" s="1" t="s">
        <v>18</v>
      </c>
      <c r="G77" s="1" t="s">
        <v>19</v>
      </c>
      <c r="H77" s="2">
        <v>45444</v>
      </c>
      <c r="I77" s="1" t="s">
        <v>315</v>
      </c>
      <c r="J77" s="1" t="s">
        <v>316</v>
      </c>
      <c r="K77" s="1" t="s">
        <v>22</v>
      </c>
      <c r="L77" s="1">
        <v>16937.37</v>
      </c>
      <c r="M77" s="1">
        <v>2</v>
      </c>
      <c r="N77" s="1">
        <v>0.1</v>
      </c>
      <c r="O77" s="1">
        <v>30487.27</v>
      </c>
      <c r="P77" s="1">
        <v>5852.21</v>
      </c>
    </row>
    <row r="78" spans="1:16" x14ac:dyDescent="0.3">
      <c r="A78" s="1" t="s">
        <v>229</v>
      </c>
      <c r="B78" s="2">
        <v>45940</v>
      </c>
      <c r="C78" s="2" t="str">
        <f>TEXT(E_Commerce_data[[#This Row],[order_date]],"MMM")</f>
        <v>Oct</v>
      </c>
      <c r="D78" s="1" t="s">
        <v>230</v>
      </c>
      <c r="E78" s="1" t="s">
        <v>231</v>
      </c>
      <c r="F78" s="1" t="s">
        <v>72</v>
      </c>
      <c r="G78" s="1" t="s">
        <v>48</v>
      </c>
      <c r="H78" s="2">
        <v>45550</v>
      </c>
      <c r="I78" s="1" t="s">
        <v>215</v>
      </c>
      <c r="J78" s="1" t="s">
        <v>216</v>
      </c>
      <c r="K78" s="1" t="s">
        <v>22</v>
      </c>
      <c r="L78" s="1">
        <v>11273.63</v>
      </c>
      <c r="M78" s="1">
        <v>1</v>
      </c>
      <c r="N78" s="1">
        <v>0</v>
      </c>
      <c r="O78" s="1">
        <v>11273.63</v>
      </c>
      <c r="P78" s="1">
        <v>2306.9899999999998</v>
      </c>
    </row>
    <row r="79" spans="1:16" x14ac:dyDescent="0.3">
      <c r="A79" s="1" t="s">
        <v>972</v>
      </c>
      <c r="B79" s="2">
        <v>45532</v>
      </c>
      <c r="C79" s="2" t="str">
        <f>TEXT(E_Commerce_data[[#This Row],[order_date]],"MMM")</f>
        <v>Aug</v>
      </c>
      <c r="D79" s="1" t="s">
        <v>392</v>
      </c>
      <c r="E79" s="1" t="s">
        <v>393</v>
      </c>
      <c r="F79" s="1" t="s">
        <v>76</v>
      </c>
      <c r="G79" s="1" t="s">
        <v>32</v>
      </c>
      <c r="H79" s="2">
        <v>45197</v>
      </c>
      <c r="I79" s="1" t="s">
        <v>964</v>
      </c>
      <c r="J79" s="1" t="s">
        <v>965</v>
      </c>
      <c r="K79" s="1" t="s">
        <v>902</v>
      </c>
      <c r="L79" s="1">
        <v>3589.32</v>
      </c>
      <c r="M79" s="1">
        <v>5</v>
      </c>
      <c r="N79" s="1">
        <v>0</v>
      </c>
      <c r="O79" s="1">
        <v>17946.599999999999</v>
      </c>
      <c r="P79" s="1">
        <v>1400.12</v>
      </c>
    </row>
    <row r="80" spans="1:16" x14ac:dyDescent="0.3">
      <c r="A80" s="1" t="s">
        <v>973</v>
      </c>
      <c r="B80" s="2">
        <v>45442</v>
      </c>
      <c r="C80" s="2" t="str">
        <f>TEXT(E_Commerce_data[[#This Row],[order_date]],"MMM")</f>
        <v>May</v>
      </c>
      <c r="D80" s="1" t="s">
        <v>209</v>
      </c>
      <c r="E80" s="1" t="s">
        <v>210</v>
      </c>
      <c r="F80" s="1" t="s">
        <v>18</v>
      </c>
      <c r="G80" s="1" t="s">
        <v>19</v>
      </c>
      <c r="H80" s="2">
        <v>45507</v>
      </c>
      <c r="I80" s="1" t="s">
        <v>964</v>
      </c>
      <c r="J80" s="1" t="s">
        <v>965</v>
      </c>
      <c r="K80" s="1" t="s">
        <v>902</v>
      </c>
      <c r="L80" s="1">
        <v>3589.32</v>
      </c>
      <c r="M80" s="1">
        <v>3</v>
      </c>
      <c r="N80" s="1">
        <v>0</v>
      </c>
      <c r="O80" s="1">
        <v>10767.96</v>
      </c>
      <c r="P80" s="1">
        <v>3143.91</v>
      </c>
    </row>
    <row r="81" spans="1:16" x14ac:dyDescent="0.3">
      <c r="A81" s="1" t="s">
        <v>499</v>
      </c>
      <c r="B81" s="2">
        <v>45778</v>
      </c>
      <c r="C81" s="2" t="str">
        <f>TEXT(E_Commerce_data[[#This Row],[order_date]],"MMM")</f>
        <v>May</v>
      </c>
      <c r="D81" s="1" t="s">
        <v>495</v>
      </c>
      <c r="E81" s="1" t="s">
        <v>496</v>
      </c>
      <c r="F81" s="1" t="s">
        <v>36</v>
      </c>
      <c r="G81" s="1" t="s">
        <v>32</v>
      </c>
      <c r="H81" s="2">
        <v>45623</v>
      </c>
      <c r="I81" s="1" t="s">
        <v>489</v>
      </c>
      <c r="J81" s="1" t="s">
        <v>490</v>
      </c>
      <c r="K81" s="1" t="s">
        <v>22</v>
      </c>
      <c r="L81" s="1">
        <v>11544.23</v>
      </c>
      <c r="M81" s="1">
        <v>1</v>
      </c>
      <c r="N81" s="1">
        <v>0</v>
      </c>
      <c r="O81" s="1">
        <v>11544.23</v>
      </c>
      <c r="P81" s="1">
        <v>1425.17</v>
      </c>
    </row>
    <row r="82" spans="1:16" x14ac:dyDescent="0.3">
      <c r="A82" s="1" t="s">
        <v>1170</v>
      </c>
      <c r="B82" s="2">
        <v>45758</v>
      </c>
      <c r="C82" s="2" t="str">
        <f>TEXT(E_Commerce_data[[#This Row],[order_date]],"MMM")</f>
        <v>Apr</v>
      </c>
      <c r="D82" s="1" t="s">
        <v>424</v>
      </c>
      <c r="E82" s="1" t="s">
        <v>425</v>
      </c>
      <c r="F82" s="1" t="s">
        <v>43</v>
      </c>
      <c r="G82" s="1" t="s">
        <v>32</v>
      </c>
      <c r="H82" s="2">
        <v>45489</v>
      </c>
      <c r="I82" s="1" t="s">
        <v>1162</v>
      </c>
      <c r="J82" s="1" t="s">
        <v>1163</v>
      </c>
      <c r="K82" s="1" t="s">
        <v>902</v>
      </c>
      <c r="L82" s="1">
        <v>10751.13</v>
      </c>
      <c r="M82" s="1">
        <v>5</v>
      </c>
      <c r="N82" s="1">
        <v>0.2</v>
      </c>
      <c r="O82" s="1">
        <v>43004.52</v>
      </c>
      <c r="P82" s="1">
        <v>12064.78</v>
      </c>
    </row>
    <row r="83" spans="1:16" x14ac:dyDescent="0.3">
      <c r="A83" s="1" t="s">
        <v>232</v>
      </c>
      <c r="B83" s="2">
        <v>46005</v>
      </c>
      <c r="C83" s="2" t="str">
        <f>TEXT(E_Commerce_data[[#This Row],[order_date]],"MMM")</f>
        <v>Dec</v>
      </c>
      <c r="D83" s="1" t="s">
        <v>233</v>
      </c>
      <c r="E83" s="1" t="s">
        <v>234</v>
      </c>
      <c r="F83" s="1" t="s">
        <v>72</v>
      </c>
      <c r="G83" s="1" t="s">
        <v>48</v>
      </c>
      <c r="H83" s="2">
        <v>45321</v>
      </c>
      <c r="I83" s="1" t="s">
        <v>215</v>
      </c>
      <c r="J83" s="1" t="s">
        <v>216</v>
      </c>
      <c r="K83" s="1" t="s">
        <v>22</v>
      </c>
      <c r="L83" s="1">
        <v>11273.63</v>
      </c>
      <c r="M83" s="1">
        <v>4</v>
      </c>
      <c r="N83" s="1">
        <v>0.15</v>
      </c>
      <c r="O83" s="1">
        <v>38330.339999999997</v>
      </c>
      <c r="P83" s="1">
        <v>8536.2199999999993</v>
      </c>
    </row>
    <row r="84" spans="1:16" x14ac:dyDescent="0.3">
      <c r="A84" s="1" t="s">
        <v>1171</v>
      </c>
      <c r="B84" s="2">
        <v>45443</v>
      </c>
      <c r="C84" s="2" t="str">
        <f>TEXT(E_Commerce_data[[#This Row],[order_date]],"MMM")</f>
        <v>May</v>
      </c>
      <c r="D84" s="1" t="s">
        <v>183</v>
      </c>
      <c r="E84" s="1" t="s">
        <v>184</v>
      </c>
      <c r="F84" s="1" t="s">
        <v>47</v>
      </c>
      <c r="G84" s="1" t="s">
        <v>48</v>
      </c>
      <c r="H84" s="2">
        <v>45151</v>
      </c>
      <c r="I84" s="1" t="s">
        <v>1162</v>
      </c>
      <c r="J84" s="1" t="s">
        <v>1163</v>
      </c>
      <c r="K84" s="1" t="s">
        <v>902</v>
      </c>
      <c r="L84" s="1">
        <v>10751.13</v>
      </c>
      <c r="M84" s="1">
        <v>4</v>
      </c>
      <c r="N84" s="1">
        <v>0.05</v>
      </c>
      <c r="O84" s="1">
        <v>40854.29</v>
      </c>
      <c r="P84" s="1">
        <v>6940.97</v>
      </c>
    </row>
    <row r="85" spans="1:16" x14ac:dyDescent="0.3">
      <c r="A85" s="1" t="s">
        <v>834</v>
      </c>
      <c r="B85" s="2">
        <v>45401</v>
      </c>
      <c r="C85" s="2" t="str">
        <f>TEXT(E_Commerce_data[[#This Row],[order_date]],"MMM")</f>
        <v>Apr</v>
      </c>
      <c r="D85" s="1" t="s">
        <v>159</v>
      </c>
      <c r="E85" s="1" t="s">
        <v>160</v>
      </c>
      <c r="F85" s="1" t="s">
        <v>76</v>
      </c>
      <c r="G85" s="1" t="s">
        <v>32</v>
      </c>
      <c r="H85" s="2">
        <v>45211</v>
      </c>
      <c r="I85" s="1" t="s">
        <v>822</v>
      </c>
      <c r="J85" s="1" t="s">
        <v>823</v>
      </c>
      <c r="K85" s="1" t="s">
        <v>560</v>
      </c>
      <c r="L85" s="1">
        <v>45275.73</v>
      </c>
      <c r="M85" s="1">
        <v>1</v>
      </c>
      <c r="N85" s="1">
        <v>0.2</v>
      </c>
      <c r="O85" s="1">
        <v>36220.58</v>
      </c>
      <c r="P85" s="1">
        <v>11160.73</v>
      </c>
    </row>
    <row r="86" spans="1:16" x14ac:dyDescent="0.3">
      <c r="A86" s="1" t="s">
        <v>710</v>
      </c>
      <c r="B86" s="2">
        <v>46004</v>
      </c>
      <c r="C86" s="2" t="str">
        <f>TEXT(E_Commerce_data[[#This Row],[order_date]],"MMM")</f>
        <v>Dec</v>
      </c>
      <c r="D86" s="1" t="s">
        <v>287</v>
      </c>
      <c r="E86" s="1" t="s">
        <v>288</v>
      </c>
      <c r="F86" s="1" t="s">
        <v>18</v>
      </c>
      <c r="G86" s="1" t="s">
        <v>19</v>
      </c>
      <c r="H86" s="2">
        <v>44959</v>
      </c>
      <c r="I86" s="1" t="s">
        <v>706</v>
      </c>
      <c r="J86" s="1" t="s">
        <v>707</v>
      </c>
      <c r="K86" s="1" t="s">
        <v>560</v>
      </c>
      <c r="L86" s="1">
        <v>31573.59</v>
      </c>
      <c r="M86" s="1">
        <v>4</v>
      </c>
      <c r="N86" s="1">
        <v>0</v>
      </c>
      <c r="O86" s="1">
        <v>126294.36</v>
      </c>
      <c r="P86" s="1">
        <v>12978.77</v>
      </c>
    </row>
    <row r="87" spans="1:16" x14ac:dyDescent="0.3">
      <c r="A87" s="1" t="s">
        <v>905</v>
      </c>
      <c r="B87" s="2">
        <v>45547</v>
      </c>
      <c r="C87" s="2" t="str">
        <f>TEXT(E_Commerce_data[[#This Row],[order_date]],"MMM")</f>
        <v>Sep</v>
      </c>
      <c r="D87" s="1" t="s">
        <v>132</v>
      </c>
      <c r="E87" s="1" t="s">
        <v>133</v>
      </c>
      <c r="F87" s="1" t="s">
        <v>76</v>
      </c>
      <c r="G87" s="1" t="s">
        <v>32</v>
      </c>
      <c r="H87" s="2">
        <v>45359</v>
      </c>
      <c r="I87" s="1" t="s">
        <v>900</v>
      </c>
      <c r="J87" s="1" t="s">
        <v>901</v>
      </c>
      <c r="K87" s="1" t="s">
        <v>902</v>
      </c>
      <c r="L87" s="1">
        <v>42988.79</v>
      </c>
      <c r="M87" s="1">
        <v>5</v>
      </c>
      <c r="N87" s="1">
        <v>0.05</v>
      </c>
      <c r="O87" s="1">
        <v>204196.75</v>
      </c>
      <c r="P87" s="1">
        <v>13286.17</v>
      </c>
    </row>
    <row r="88" spans="1:16" x14ac:dyDescent="0.3">
      <c r="A88" s="1" t="s">
        <v>1104</v>
      </c>
      <c r="B88" s="2">
        <v>45767</v>
      </c>
      <c r="C88" s="2" t="str">
        <f>TEXT(E_Commerce_data[[#This Row],[order_date]],"MMM")</f>
        <v>Apr</v>
      </c>
      <c r="D88" s="1" t="s">
        <v>96</v>
      </c>
      <c r="E88" s="1" t="s">
        <v>97</v>
      </c>
      <c r="F88" s="1" t="s">
        <v>18</v>
      </c>
      <c r="G88" s="1" t="s">
        <v>19</v>
      </c>
      <c r="H88" s="2">
        <v>45094</v>
      </c>
      <c r="I88" s="1" t="s">
        <v>1102</v>
      </c>
      <c r="J88" s="1" t="s">
        <v>1103</v>
      </c>
      <c r="K88" s="1" t="s">
        <v>902</v>
      </c>
      <c r="L88" s="1">
        <v>33465.440000000002</v>
      </c>
      <c r="M88" s="1">
        <v>1</v>
      </c>
      <c r="N88" s="1">
        <v>0.05</v>
      </c>
      <c r="O88" s="1">
        <v>31792.17</v>
      </c>
      <c r="P88" s="1">
        <v>2861.35</v>
      </c>
    </row>
    <row r="89" spans="1:16" x14ac:dyDescent="0.3">
      <c r="A89" s="1" t="s">
        <v>711</v>
      </c>
      <c r="B89" s="2">
        <v>45745</v>
      </c>
      <c r="C89" s="2" t="str">
        <f>TEXT(E_Commerce_data[[#This Row],[order_date]],"MMM")</f>
        <v>Mar</v>
      </c>
      <c r="D89" s="1" t="s">
        <v>99</v>
      </c>
      <c r="E89" s="1" t="s">
        <v>100</v>
      </c>
      <c r="F89" s="1" t="s">
        <v>43</v>
      </c>
      <c r="G89" s="1" t="s">
        <v>32</v>
      </c>
      <c r="H89" s="2">
        <v>45468</v>
      </c>
      <c r="I89" s="1" t="s">
        <v>706</v>
      </c>
      <c r="J89" s="1" t="s">
        <v>707</v>
      </c>
      <c r="K89" s="1" t="s">
        <v>560</v>
      </c>
      <c r="L89" s="1">
        <v>31573.59</v>
      </c>
      <c r="M89" s="1">
        <v>5</v>
      </c>
      <c r="N89" s="1">
        <v>0.1</v>
      </c>
      <c r="O89" s="1">
        <v>142081.16</v>
      </c>
      <c r="P89" s="1">
        <v>32484.82</v>
      </c>
    </row>
    <row r="90" spans="1:16" x14ac:dyDescent="0.3">
      <c r="A90" s="1" t="s">
        <v>500</v>
      </c>
      <c r="B90" s="2">
        <v>45808</v>
      </c>
      <c r="C90" s="2" t="str">
        <f>TEXT(E_Commerce_data[[#This Row],[order_date]],"MMM")</f>
        <v>May</v>
      </c>
      <c r="D90" s="1" t="s">
        <v>168</v>
      </c>
      <c r="E90" s="1" t="s">
        <v>169</v>
      </c>
      <c r="F90" s="1" t="s">
        <v>93</v>
      </c>
      <c r="G90" s="1" t="s">
        <v>27</v>
      </c>
      <c r="H90" s="2">
        <v>45389</v>
      </c>
      <c r="I90" s="1" t="s">
        <v>489</v>
      </c>
      <c r="J90" s="1" t="s">
        <v>490</v>
      </c>
      <c r="K90" s="1" t="s">
        <v>22</v>
      </c>
      <c r="L90" s="1">
        <v>11544.23</v>
      </c>
      <c r="M90" s="1">
        <v>5</v>
      </c>
      <c r="N90" s="1">
        <v>0.2</v>
      </c>
      <c r="O90" s="1">
        <v>46176.92</v>
      </c>
      <c r="P90" s="1">
        <v>12273</v>
      </c>
    </row>
    <row r="91" spans="1:16" x14ac:dyDescent="0.3">
      <c r="A91" s="1" t="s">
        <v>835</v>
      </c>
      <c r="B91" s="2">
        <v>45748</v>
      </c>
      <c r="C91" s="2" t="str">
        <f>TEXT(E_Commerce_data[[#This Row],[order_date]],"MMM")</f>
        <v>Apr</v>
      </c>
      <c r="D91" s="1" t="s">
        <v>573</v>
      </c>
      <c r="E91" s="1" t="s">
        <v>574</v>
      </c>
      <c r="F91" s="1" t="s">
        <v>36</v>
      </c>
      <c r="G91" s="1" t="s">
        <v>32</v>
      </c>
      <c r="H91" s="2">
        <v>45540</v>
      </c>
      <c r="I91" s="1" t="s">
        <v>822</v>
      </c>
      <c r="J91" s="1" t="s">
        <v>823</v>
      </c>
      <c r="K91" s="1" t="s">
        <v>560</v>
      </c>
      <c r="L91" s="1">
        <v>45275.73</v>
      </c>
      <c r="M91" s="1">
        <v>4</v>
      </c>
      <c r="N91" s="1">
        <v>0.2</v>
      </c>
      <c r="O91" s="1">
        <v>144882.34</v>
      </c>
      <c r="P91" s="1">
        <v>46660.29</v>
      </c>
    </row>
    <row r="92" spans="1:16" x14ac:dyDescent="0.3">
      <c r="A92" s="1" t="s">
        <v>427</v>
      </c>
      <c r="B92" s="2">
        <v>45752</v>
      </c>
      <c r="C92" s="2" t="str">
        <f>TEXT(E_Commerce_data[[#This Row],[order_date]],"MMM")</f>
        <v>Apr</v>
      </c>
      <c r="D92" s="1" t="s">
        <v>74</v>
      </c>
      <c r="E92" s="1" t="s">
        <v>75</v>
      </c>
      <c r="F92" s="1" t="s">
        <v>76</v>
      </c>
      <c r="G92" s="1" t="s">
        <v>32</v>
      </c>
      <c r="H92" s="2">
        <v>44954</v>
      </c>
      <c r="I92" s="1" t="s">
        <v>420</v>
      </c>
      <c r="J92" s="1" t="s">
        <v>421</v>
      </c>
      <c r="K92" s="1" t="s">
        <v>22</v>
      </c>
      <c r="L92" s="1">
        <v>29436.02</v>
      </c>
      <c r="M92" s="1">
        <v>2</v>
      </c>
      <c r="N92" s="1">
        <v>0.15</v>
      </c>
      <c r="O92" s="1">
        <v>50041.23</v>
      </c>
      <c r="P92" s="1">
        <v>15435.14</v>
      </c>
    </row>
    <row r="93" spans="1:16" x14ac:dyDescent="0.3">
      <c r="A93" s="1" t="s">
        <v>235</v>
      </c>
      <c r="B93" s="2">
        <v>45944</v>
      </c>
      <c r="C93" s="2" t="str">
        <f>TEXT(E_Commerce_data[[#This Row],[order_date]],"MMM")</f>
        <v>Oct</v>
      </c>
      <c r="D93" s="1" t="s">
        <v>192</v>
      </c>
      <c r="E93" s="1" t="s">
        <v>193</v>
      </c>
      <c r="F93" s="1" t="s">
        <v>55</v>
      </c>
      <c r="G93" s="1" t="s">
        <v>27</v>
      </c>
      <c r="H93" s="2">
        <v>45448</v>
      </c>
      <c r="I93" s="1" t="s">
        <v>215</v>
      </c>
      <c r="J93" s="1" t="s">
        <v>216</v>
      </c>
      <c r="K93" s="1" t="s">
        <v>22</v>
      </c>
      <c r="L93" s="1">
        <v>11273.63</v>
      </c>
      <c r="M93" s="1">
        <v>3</v>
      </c>
      <c r="N93" s="1">
        <v>0.2</v>
      </c>
      <c r="O93" s="1">
        <v>27056.71</v>
      </c>
      <c r="P93" s="1">
        <v>3359.68</v>
      </c>
    </row>
    <row r="94" spans="1:16" x14ac:dyDescent="0.3">
      <c r="A94" s="1" t="s">
        <v>836</v>
      </c>
      <c r="B94" s="2">
        <v>45788</v>
      </c>
      <c r="C94" s="2" t="str">
        <f>TEXT(E_Commerce_data[[#This Row],[order_date]],"MMM")</f>
        <v>May</v>
      </c>
      <c r="D94" s="1" t="s">
        <v>287</v>
      </c>
      <c r="E94" s="1" t="s">
        <v>288</v>
      </c>
      <c r="F94" s="1" t="s">
        <v>18</v>
      </c>
      <c r="G94" s="1" t="s">
        <v>19</v>
      </c>
      <c r="H94" s="2">
        <v>44959</v>
      </c>
      <c r="I94" s="1" t="s">
        <v>822</v>
      </c>
      <c r="J94" s="1" t="s">
        <v>823</v>
      </c>
      <c r="K94" s="1" t="s">
        <v>560</v>
      </c>
      <c r="L94" s="1">
        <v>45275.73</v>
      </c>
      <c r="M94" s="1">
        <v>3</v>
      </c>
      <c r="N94" s="1">
        <v>0.2</v>
      </c>
      <c r="O94" s="1">
        <v>108661.75</v>
      </c>
      <c r="P94" s="1">
        <v>30784.14</v>
      </c>
    </row>
    <row r="95" spans="1:16" x14ac:dyDescent="0.3">
      <c r="A95" s="1" t="s">
        <v>37</v>
      </c>
      <c r="B95" s="2">
        <v>46022</v>
      </c>
      <c r="C95" s="2" t="str">
        <f>TEXT(E_Commerce_data[[#This Row],[order_date]],"MMM")</f>
        <v>Dec</v>
      </c>
      <c r="D95" s="1" t="s">
        <v>38</v>
      </c>
      <c r="E95" s="1" t="s">
        <v>39</v>
      </c>
      <c r="F95" s="1" t="s">
        <v>18</v>
      </c>
      <c r="G95" s="1" t="s">
        <v>19</v>
      </c>
      <c r="H95" s="2">
        <v>45069</v>
      </c>
      <c r="I95" s="1" t="s">
        <v>20</v>
      </c>
      <c r="J95" s="1" t="s">
        <v>21</v>
      </c>
      <c r="K95" s="1" t="s">
        <v>22</v>
      </c>
      <c r="L95" s="1">
        <v>6094.16</v>
      </c>
      <c r="M95" s="1">
        <v>2</v>
      </c>
      <c r="N95" s="1">
        <v>0</v>
      </c>
      <c r="O95" s="1">
        <v>12188.32</v>
      </c>
      <c r="P95" s="1">
        <v>2217.81</v>
      </c>
    </row>
    <row r="96" spans="1:16" x14ac:dyDescent="0.3">
      <c r="A96" s="1" t="s">
        <v>712</v>
      </c>
      <c r="B96" s="2">
        <v>45619</v>
      </c>
      <c r="C96" s="2" t="str">
        <f>TEXT(E_Commerce_data[[#This Row],[order_date]],"MMM")</f>
        <v>Nov</v>
      </c>
      <c r="D96" s="1" t="s">
        <v>643</v>
      </c>
      <c r="E96" s="1" t="s">
        <v>644</v>
      </c>
      <c r="F96" s="1" t="s">
        <v>93</v>
      </c>
      <c r="G96" s="1" t="s">
        <v>27</v>
      </c>
      <c r="H96" s="2">
        <v>45130</v>
      </c>
      <c r="I96" s="1" t="s">
        <v>706</v>
      </c>
      <c r="J96" s="1" t="s">
        <v>707</v>
      </c>
      <c r="K96" s="1" t="s">
        <v>560</v>
      </c>
      <c r="L96" s="1">
        <v>31573.59</v>
      </c>
      <c r="M96" s="1">
        <v>3</v>
      </c>
      <c r="N96" s="1">
        <v>0</v>
      </c>
      <c r="O96" s="1">
        <v>94720.77</v>
      </c>
      <c r="P96" s="1">
        <v>12457.16</v>
      </c>
    </row>
    <row r="97" spans="1:16" x14ac:dyDescent="0.3">
      <c r="A97" s="1" t="s">
        <v>1172</v>
      </c>
      <c r="B97" s="2">
        <v>45528</v>
      </c>
      <c r="C97" s="2" t="str">
        <f>TEXT(E_Commerce_data[[#This Row],[order_date]],"MMM")</f>
        <v>Aug</v>
      </c>
      <c r="D97" s="1" t="s">
        <v>38</v>
      </c>
      <c r="E97" s="1" t="s">
        <v>39</v>
      </c>
      <c r="F97" s="1" t="s">
        <v>18</v>
      </c>
      <c r="G97" s="1" t="s">
        <v>19</v>
      </c>
      <c r="H97" s="2">
        <v>45069</v>
      </c>
      <c r="I97" s="1" t="s">
        <v>1162</v>
      </c>
      <c r="J97" s="1" t="s">
        <v>1163</v>
      </c>
      <c r="K97" s="1" t="s">
        <v>902</v>
      </c>
      <c r="L97" s="1">
        <v>10751.13</v>
      </c>
      <c r="M97" s="1">
        <v>5</v>
      </c>
      <c r="N97" s="1">
        <v>0</v>
      </c>
      <c r="O97" s="1">
        <v>53755.65</v>
      </c>
      <c r="P97" s="1">
        <v>4919.3</v>
      </c>
    </row>
    <row r="98" spans="1:16" x14ac:dyDescent="0.3">
      <c r="A98" s="1" t="s">
        <v>236</v>
      </c>
      <c r="B98" s="2">
        <v>45511</v>
      </c>
      <c r="C98" s="2" t="str">
        <f>TEXT(E_Commerce_data[[#This Row],[order_date]],"MMM")</f>
        <v>Aug</v>
      </c>
      <c r="D98" s="1" t="s">
        <v>237</v>
      </c>
      <c r="E98" s="1" t="s">
        <v>238</v>
      </c>
      <c r="F98" s="1" t="s">
        <v>93</v>
      </c>
      <c r="G98" s="1" t="s">
        <v>27</v>
      </c>
      <c r="H98" s="2">
        <v>45151</v>
      </c>
      <c r="I98" s="1" t="s">
        <v>215</v>
      </c>
      <c r="J98" s="1" t="s">
        <v>216</v>
      </c>
      <c r="K98" s="1" t="s">
        <v>22</v>
      </c>
      <c r="L98" s="1">
        <v>11273.63</v>
      </c>
      <c r="M98" s="1">
        <v>4</v>
      </c>
      <c r="N98" s="1">
        <v>0.15</v>
      </c>
      <c r="O98" s="1">
        <v>38330.339999999997</v>
      </c>
      <c r="P98" s="1">
        <v>3673.64</v>
      </c>
    </row>
    <row r="99" spans="1:16" x14ac:dyDescent="0.3">
      <c r="A99" s="1" t="s">
        <v>906</v>
      </c>
      <c r="B99" s="2">
        <v>45847</v>
      </c>
      <c r="C99" s="2" t="str">
        <f>TEXT(E_Commerce_data[[#This Row],[order_date]],"MMM")</f>
        <v>Jul</v>
      </c>
      <c r="D99" s="1" t="s">
        <v>212</v>
      </c>
      <c r="E99" s="1" t="s">
        <v>213</v>
      </c>
      <c r="F99" s="1" t="s">
        <v>18</v>
      </c>
      <c r="G99" s="1" t="s">
        <v>19</v>
      </c>
      <c r="H99" s="2">
        <v>45613</v>
      </c>
      <c r="I99" s="1" t="s">
        <v>900</v>
      </c>
      <c r="J99" s="1" t="s">
        <v>901</v>
      </c>
      <c r="K99" s="1" t="s">
        <v>902</v>
      </c>
      <c r="L99" s="1">
        <v>42988.79</v>
      </c>
      <c r="M99" s="1">
        <v>1</v>
      </c>
      <c r="N99" s="1">
        <v>0.05</v>
      </c>
      <c r="O99" s="1">
        <v>40839.35</v>
      </c>
      <c r="P99" s="1">
        <v>7035.8</v>
      </c>
    </row>
    <row r="100" spans="1:16" x14ac:dyDescent="0.3">
      <c r="A100" s="1" t="s">
        <v>1173</v>
      </c>
      <c r="B100" s="2">
        <v>45722</v>
      </c>
      <c r="C100" s="2" t="str">
        <f>TEXT(E_Commerce_data[[#This Row],[order_date]],"MMM")</f>
        <v>Mar</v>
      </c>
      <c r="D100" s="1" t="s">
        <v>335</v>
      </c>
      <c r="E100" s="1" t="s">
        <v>336</v>
      </c>
      <c r="F100" s="1" t="s">
        <v>43</v>
      </c>
      <c r="G100" s="1" t="s">
        <v>32</v>
      </c>
      <c r="H100" s="2">
        <v>45315</v>
      </c>
      <c r="I100" s="1" t="s">
        <v>1162</v>
      </c>
      <c r="J100" s="1" t="s">
        <v>1163</v>
      </c>
      <c r="K100" s="1" t="s">
        <v>902</v>
      </c>
      <c r="L100" s="1">
        <v>10751.13</v>
      </c>
      <c r="M100" s="1">
        <v>4</v>
      </c>
      <c r="N100" s="1">
        <v>0.05</v>
      </c>
      <c r="O100" s="1">
        <v>40854.29</v>
      </c>
      <c r="P100" s="1">
        <v>2805.86</v>
      </c>
    </row>
    <row r="101" spans="1:16" x14ac:dyDescent="0.3">
      <c r="A101" s="1" t="s">
        <v>321</v>
      </c>
      <c r="B101" s="2">
        <v>46004</v>
      </c>
      <c r="C101" s="2" t="str">
        <f>TEXT(E_Commerce_data[[#This Row],[order_date]],"MMM")</f>
        <v>Dec</v>
      </c>
      <c r="D101" s="1" t="s">
        <v>248</v>
      </c>
      <c r="E101" s="1" t="s">
        <v>249</v>
      </c>
      <c r="F101" s="1" t="s">
        <v>72</v>
      </c>
      <c r="G101" s="1" t="s">
        <v>48</v>
      </c>
      <c r="H101" s="2">
        <v>45619</v>
      </c>
      <c r="I101" s="1" t="s">
        <v>315</v>
      </c>
      <c r="J101" s="1" t="s">
        <v>316</v>
      </c>
      <c r="K101" s="1" t="s">
        <v>22</v>
      </c>
      <c r="L101" s="1">
        <v>16937.37</v>
      </c>
      <c r="M101" s="1">
        <v>4</v>
      </c>
      <c r="N101" s="1">
        <v>0.2</v>
      </c>
      <c r="O101" s="1">
        <v>54199.58</v>
      </c>
      <c r="P101" s="1">
        <v>12207.04</v>
      </c>
    </row>
    <row r="102" spans="1:16" x14ac:dyDescent="0.3">
      <c r="A102" s="1" t="s">
        <v>768</v>
      </c>
      <c r="B102" s="2">
        <v>45881</v>
      </c>
      <c r="C102" s="2" t="str">
        <f>TEXT(E_Commerce_data[[#This Row],[order_date]],"MMM")</f>
        <v>Aug</v>
      </c>
      <c r="D102" s="1" t="s">
        <v>125</v>
      </c>
      <c r="E102" s="1" t="s">
        <v>126</v>
      </c>
      <c r="F102" s="1" t="s">
        <v>72</v>
      </c>
      <c r="G102" s="1" t="s">
        <v>48</v>
      </c>
      <c r="H102" s="2">
        <v>44952</v>
      </c>
      <c r="I102" s="1" t="s">
        <v>763</v>
      </c>
      <c r="J102" s="1" t="s">
        <v>764</v>
      </c>
      <c r="K102" s="1" t="s">
        <v>560</v>
      </c>
      <c r="L102" s="1">
        <v>11485.64</v>
      </c>
      <c r="M102" s="1">
        <v>1</v>
      </c>
      <c r="N102" s="1">
        <v>0.2</v>
      </c>
      <c r="O102" s="1">
        <v>9188.51</v>
      </c>
      <c r="P102" s="1">
        <v>2887</v>
      </c>
    </row>
    <row r="103" spans="1:16" x14ac:dyDescent="0.3">
      <c r="A103" s="1" t="s">
        <v>837</v>
      </c>
      <c r="B103" s="2">
        <v>45652</v>
      </c>
      <c r="C103" s="2" t="str">
        <f>TEXT(E_Commerce_data[[#This Row],[order_date]],"MMM")</f>
        <v>Dec</v>
      </c>
      <c r="D103" s="1" t="s">
        <v>392</v>
      </c>
      <c r="E103" s="1" t="s">
        <v>393</v>
      </c>
      <c r="F103" s="1" t="s">
        <v>76</v>
      </c>
      <c r="G103" s="1" t="s">
        <v>32</v>
      </c>
      <c r="H103" s="2">
        <v>45197</v>
      </c>
      <c r="I103" s="1" t="s">
        <v>822</v>
      </c>
      <c r="J103" s="1" t="s">
        <v>823</v>
      </c>
      <c r="K103" s="1" t="s">
        <v>560</v>
      </c>
      <c r="L103" s="1">
        <v>45275.73</v>
      </c>
      <c r="M103" s="1">
        <v>4</v>
      </c>
      <c r="N103" s="1">
        <v>0.05</v>
      </c>
      <c r="O103" s="1">
        <v>172047.77</v>
      </c>
      <c r="P103" s="1">
        <v>8906.7099999999991</v>
      </c>
    </row>
    <row r="104" spans="1:16" x14ac:dyDescent="0.3">
      <c r="A104" s="1" t="s">
        <v>1105</v>
      </c>
      <c r="B104" s="2">
        <v>45721</v>
      </c>
      <c r="C104" s="2" t="str">
        <f>TEXT(E_Commerce_data[[#This Row],[order_date]],"MMM")</f>
        <v>Mar</v>
      </c>
      <c r="D104" s="1" t="s">
        <v>16</v>
      </c>
      <c r="E104" s="1" t="s">
        <v>17</v>
      </c>
      <c r="F104" s="1" t="s">
        <v>18</v>
      </c>
      <c r="G104" s="1" t="s">
        <v>19</v>
      </c>
      <c r="H104" s="2">
        <v>44986</v>
      </c>
      <c r="I104" s="1" t="s">
        <v>1102</v>
      </c>
      <c r="J104" s="1" t="s">
        <v>1103</v>
      </c>
      <c r="K104" s="1" t="s">
        <v>902</v>
      </c>
      <c r="L104" s="1">
        <v>33465.440000000002</v>
      </c>
      <c r="M104" s="1">
        <v>3</v>
      </c>
      <c r="N104" s="1">
        <v>0.2</v>
      </c>
      <c r="O104" s="1">
        <v>80317.06</v>
      </c>
      <c r="P104" s="1">
        <v>13412.63</v>
      </c>
    </row>
    <row r="105" spans="1:16" x14ac:dyDescent="0.3">
      <c r="A105" s="1" t="s">
        <v>1174</v>
      </c>
      <c r="B105" s="2">
        <v>45909</v>
      </c>
      <c r="C105" s="2" t="str">
        <f>TEXT(E_Commerce_data[[#This Row],[order_date]],"MMM")</f>
        <v>Sep</v>
      </c>
      <c r="D105" s="1" t="s">
        <v>564</v>
      </c>
      <c r="E105" s="1" t="s">
        <v>565</v>
      </c>
      <c r="F105" s="1" t="s">
        <v>55</v>
      </c>
      <c r="G105" s="1" t="s">
        <v>27</v>
      </c>
      <c r="H105" s="2">
        <v>45569</v>
      </c>
      <c r="I105" s="1" t="s">
        <v>1162</v>
      </c>
      <c r="J105" s="1" t="s">
        <v>1163</v>
      </c>
      <c r="K105" s="1" t="s">
        <v>902</v>
      </c>
      <c r="L105" s="1">
        <v>10751.13</v>
      </c>
      <c r="M105" s="1">
        <v>5</v>
      </c>
      <c r="N105" s="1">
        <v>0.15</v>
      </c>
      <c r="O105" s="1">
        <v>45692.3</v>
      </c>
      <c r="P105" s="1">
        <v>12354.75</v>
      </c>
    </row>
    <row r="106" spans="1:16" x14ac:dyDescent="0.3">
      <c r="A106" s="1" t="s">
        <v>322</v>
      </c>
      <c r="B106" s="2">
        <v>45738</v>
      </c>
      <c r="C106" s="2" t="str">
        <f>TEXT(E_Commerce_data[[#This Row],[order_date]],"MMM")</f>
        <v>Mar</v>
      </c>
      <c r="D106" s="1" t="s">
        <v>88</v>
      </c>
      <c r="E106" s="1" t="s">
        <v>89</v>
      </c>
      <c r="F106" s="1" t="s">
        <v>18</v>
      </c>
      <c r="G106" s="1" t="s">
        <v>19</v>
      </c>
      <c r="H106" s="2">
        <v>45083</v>
      </c>
      <c r="I106" s="1" t="s">
        <v>315</v>
      </c>
      <c r="J106" s="1" t="s">
        <v>316</v>
      </c>
      <c r="K106" s="1" t="s">
        <v>22</v>
      </c>
      <c r="L106" s="1">
        <v>16937.37</v>
      </c>
      <c r="M106" s="1">
        <v>2</v>
      </c>
      <c r="N106" s="1">
        <v>0.05</v>
      </c>
      <c r="O106" s="1">
        <v>32181</v>
      </c>
      <c r="P106" s="1">
        <v>3727.41</v>
      </c>
    </row>
    <row r="107" spans="1:16" x14ac:dyDescent="0.3">
      <c r="A107" s="1" t="s">
        <v>769</v>
      </c>
      <c r="B107" s="2">
        <v>45976</v>
      </c>
      <c r="C107" s="2" t="str">
        <f>TEXT(E_Commerce_data[[#This Row],[order_date]],"MMM")</f>
        <v>Nov</v>
      </c>
      <c r="D107" s="1" t="s">
        <v>233</v>
      </c>
      <c r="E107" s="1" t="s">
        <v>234</v>
      </c>
      <c r="F107" s="1" t="s">
        <v>72</v>
      </c>
      <c r="G107" s="1" t="s">
        <v>48</v>
      </c>
      <c r="H107" s="2">
        <v>45321</v>
      </c>
      <c r="I107" s="1" t="s">
        <v>763</v>
      </c>
      <c r="J107" s="1" t="s">
        <v>764</v>
      </c>
      <c r="K107" s="1" t="s">
        <v>560</v>
      </c>
      <c r="L107" s="1">
        <v>11485.64</v>
      </c>
      <c r="M107" s="1">
        <v>4</v>
      </c>
      <c r="N107" s="1">
        <v>0</v>
      </c>
      <c r="O107" s="1">
        <v>45942.559999999998</v>
      </c>
      <c r="P107" s="1">
        <v>7656.66</v>
      </c>
    </row>
    <row r="108" spans="1:16" x14ac:dyDescent="0.3">
      <c r="A108" s="1" t="s">
        <v>323</v>
      </c>
      <c r="B108" s="2">
        <v>45770</v>
      </c>
      <c r="C108" s="2" t="str">
        <f>TEXT(E_Commerce_data[[#This Row],[order_date]],"MMM")</f>
        <v>Apr</v>
      </c>
      <c r="D108" s="1" t="s">
        <v>324</v>
      </c>
      <c r="E108" s="1" t="s">
        <v>325</v>
      </c>
      <c r="F108" s="1" t="s">
        <v>55</v>
      </c>
      <c r="G108" s="1" t="s">
        <v>27</v>
      </c>
      <c r="H108" s="2">
        <v>45473</v>
      </c>
      <c r="I108" s="1" t="s">
        <v>315</v>
      </c>
      <c r="J108" s="1" t="s">
        <v>316</v>
      </c>
      <c r="K108" s="1" t="s">
        <v>22</v>
      </c>
      <c r="L108" s="1">
        <v>16937.37</v>
      </c>
      <c r="M108" s="1">
        <v>4</v>
      </c>
      <c r="N108" s="1">
        <v>0.15</v>
      </c>
      <c r="O108" s="1">
        <v>57587.06</v>
      </c>
      <c r="P108" s="1">
        <v>5730.69</v>
      </c>
    </row>
    <row r="109" spans="1:16" x14ac:dyDescent="0.3">
      <c r="A109" s="1" t="s">
        <v>428</v>
      </c>
      <c r="B109" s="2">
        <v>45695</v>
      </c>
      <c r="C109" s="2" t="str">
        <f>TEXT(E_Commerce_data[[#This Row],[order_date]],"MMM")</f>
        <v>Feb</v>
      </c>
      <c r="D109" s="1" t="s">
        <v>132</v>
      </c>
      <c r="E109" s="1" t="s">
        <v>133</v>
      </c>
      <c r="F109" s="1" t="s">
        <v>76</v>
      </c>
      <c r="G109" s="1" t="s">
        <v>32</v>
      </c>
      <c r="H109" s="2">
        <v>45359</v>
      </c>
      <c r="I109" s="1" t="s">
        <v>420</v>
      </c>
      <c r="J109" s="1" t="s">
        <v>421</v>
      </c>
      <c r="K109" s="1" t="s">
        <v>22</v>
      </c>
      <c r="L109" s="1">
        <v>29436.02</v>
      </c>
      <c r="M109" s="1">
        <v>2</v>
      </c>
      <c r="N109" s="1">
        <v>0.1</v>
      </c>
      <c r="O109" s="1">
        <v>52984.84</v>
      </c>
      <c r="P109" s="1">
        <v>11139.38</v>
      </c>
    </row>
    <row r="110" spans="1:16" x14ac:dyDescent="0.3">
      <c r="A110" s="1" t="s">
        <v>1106</v>
      </c>
      <c r="B110" s="2">
        <v>45377</v>
      </c>
      <c r="C110" s="2" t="str">
        <f>TEXT(E_Commerce_data[[#This Row],[order_date]],"MMM")</f>
        <v>Mar</v>
      </c>
      <c r="D110" s="1" t="s">
        <v>50</v>
      </c>
      <c r="E110" s="1" t="s">
        <v>51</v>
      </c>
      <c r="F110" s="1" t="s">
        <v>47</v>
      </c>
      <c r="G110" s="1" t="s">
        <v>48</v>
      </c>
      <c r="H110" s="2">
        <v>45041</v>
      </c>
      <c r="I110" s="1" t="s">
        <v>1102</v>
      </c>
      <c r="J110" s="1" t="s">
        <v>1103</v>
      </c>
      <c r="K110" s="1" t="s">
        <v>902</v>
      </c>
      <c r="L110" s="1">
        <v>33465.440000000002</v>
      </c>
      <c r="M110" s="1">
        <v>5</v>
      </c>
      <c r="N110" s="1">
        <v>0.1</v>
      </c>
      <c r="O110" s="1">
        <v>150594.48000000001</v>
      </c>
      <c r="P110" s="1">
        <v>37482.959999999999</v>
      </c>
    </row>
    <row r="111" spans="1:16" x14ac:dyDescent="0.3">
      <c r="A111" s="1" t="s">
        <v>713</v>
      </c>
      <c r="B111" s="2">
        <v>45478</v>
      </c>
      <c r="C111" s="2" t="str">
        <f>TEXT(E_Commerce_data[[#This Row],[order_date]],"MMM")</f>
        <v>Jul</v>
      </c>
      <c r="D111" s="1" t="s">
        <v>225</v>
      </c>
      <c r="E111" s="1" t="s">
        <v>226</v>
      </c>
      <c r="F111" s="1" t="s">
        <v>76</v>
      </c>
      <c r="G111" s="1" t="s">
        <v>32</v>
      </c>
      <c r="H111" s="2">
        <v>45335</v>
      </c>
      <c r="I111" s="1" t="s">
        <v>706</v>
      </c>
      <c r="J111" s="1" t="s">
        <v>707</v>
      </c>
      <c r="K111" s="1" t="s">
        <v>560</v>
      </c>
      <c r="L111" s="1">
        <v>31573.59</v>
      </c>
      <c r="M111" s="1">
        <v>4</v>
      </c>
      <c r="N111" s="1">
        <v>0</v>
      </c>
      <c r="O111" s="1">
        <v>126294.36</v>
      </c>
      <c r="P111" s="1">
        <v>39158.25</v>
      </c>
    </row>
    <row r="112" spans="1:16" x14ac:dyDescent="0.3">
      <c r="A112" s="1" t="s">
        <v>326</v>
      </c>
      <c r="B112" s="2">
        <v>45508</v>
      </c>
      <c r="C112" s="2" t="str">
        <f>TEXT(E_Commerce_data[[#This Row],[order_date]],"MMM")</f>
        <v>Aug</v>
      </c>
      <c r="D112" s="1" t="s">
        <v>135</v>
      </c>
      <c r="E112" s="1" t="s">
        <v>136</v>
      </c>
      <c r="F112" s="1" t="s">
        <v>31</v>
      </c>
      <c r="G112" s="1" t="s">
        <v>32</v>
      </c>
      <c r="H112" s="2">
        <v>45537</v>
      </c>
      <c r="I112" s="1" t="s">
        <v>315</v>
      </c>
      <c r="J112" s="1" t="s">
        <v>316</v>
      </c>
      <c r="K112" s="1" t="s">
        <v>22</v>
      </c>
      <c r="L112" s="1">
        <v>16937.37</v>
      </c>
      <c r="M112" s="1">
        <v>1</v>
      </c>
      <c r="N112" s="1">
        <v>0</v>
      </c>
      <c r="O112" s="1">
        <v>16937.37</v>
      </c>
      <c r="P112" s="1">
        <v>2773.18</v>
      </c>
    </row>
    <row r="113" spans="1:16" x14ac:dyDescent="0.3">
      <c r="A113" s="1" t="s">
        <v>501</v>
      </c>
      <c r="B113" s="2">
        <v>45680</v>
      </c>
      <c r="C113" s="2" t="str">
        <f>TEXT(E_Commerce_data[[#This Row],[order_date]],"MMM")</f>
        <v>Jan</v>
      </c>
      <c r="D113" s="1" t="s">
        <v>91</v>
      </c>
      <c r="E113" s="1" t="s">
        <v>92</v>
      </c>
      <c r="F113" s="1" t="s">
        <v>93</v>
      </c>
      <c r="G113" s="1" t="s">
        <v>27</v>
      </c>
      <c r="H113" s="2">
        <v>45550</v>
      </c>
      <c r="I113" s="1" t="s">
        <v>489</v>
      </c>
      <c r="J113" s="1" t="s">
        <v>490</v>
      </c>
      <c r="K113" s="1" t="s">
        <v>22</v>
      </c>
      <c r="L113" s="1">
        <v>11544.23</v>
      </c>
      <c r="M113" s="1">
        <v>4</v>
      </c>
      <c r="N113" s="1">
        <v>0</v>
      </c>
      <c r="O113" s="1">
        <v>46176.92</v>
      </c>
      <c r="P113" s="1">
        <v>6984.27</v>
      </c>
    </row>
    <row r="114" spans="1:16" x14ac:dyDescent="0.3">
      <c r="A114" s="1" t="s">
        <v>1039</v>
      </c>
      <c r="B114" s="2">
        <v>45723</v>
      </c>
      <c r="C114" s="2" t="str">
        <f>TEXT(E_Commerce_data[[#This Row],[order_date]],"MMM")</f>
        <v>Mar</v>
      </c>
      <c r="D114" s="1" t="s">
        <v>106</v>
      </c>
      <c r="E114" s="1" t="s">
        <v>107</v>
      </c>
      <c r="F114" s="1" t="s">
        <v>47</v>
      </c>
      <c r="G114" s="1" t="s">
        <v>48</v>
      </c>
      <c r="H114" s="2">
        <v>45375</v>
      </c>
      <c r="I114" s="1" t="s">
        <v>1034</v>
      </c>
      <c r="J114" s="1" t="s">
        <v>1035</v>
      </c>
      <c r="K114" s="1" t="s">
        <v>902</v>
      </c>
      <c r="L114" s="1">
        <v>11938.33</v>
      </c>
      <c r="M114" s="1">
        <v>3</v>
      </c>
      <c r="N114" s="1">
        <v>0.2</v>
      </c>
      <c r="O114" s="1">
        <v>28651.99</v>
      </c>
      <c r="P114" s="1">
        <v>9608.77</v>
      </c>
    </row>
    <row r="115" spans="1:16" x14ac:dyDescent="0.3">
      <c r="A115" s="1" t="s">
        <v>1040</v>
      </c>
      <c r="B115" s="2">
        <v>45311</v>
      </c>
      <c r="C115" s="2" t="str">
        <f>TEXT(E_Commerce_data[[#This Row],[order_date]],"MMM")</f>
        <v>Jan</v>
      </c>
      <c r="D115" s="1" t="s">
        <v>186</v>
      </c>
      <c r="E115" s="1" t="s">
        <v>187</v>
      </c>
      <c r="F115" s="1" t="s">
        <v>26</v>
      </c>
      <c r="G115" s="1" t="s">
        <v>27</v>
      </c>
      <c r="H115" s="2">
        <v>45493</v>
      </c>
      <c r="I115" s="1" t="s">
        <v>1034</v>
      </c>
      <c r="J115" s="1" t="s">
        <v>1035</v>
      </c>
      <c r="K115" s="1" t="s">
        <v>902</v>
      </c>
      <c r="L115" s="1">
        <v>11938.33</v>
      </c>
      <c r="M115" s="1">
        <v>3</v>
      </c>
      <c r="N115" s="1">
        <v>0.2</v>
      </c>
      <c r="O115" s="1">
        <v>28651.99</v>
      </c>
      <c r="P115" s="1">
        <v>2136.63</v>
      </c>
    </row>
    <row r="116" spans="1:16" x14ac:dyDescent="0.3">
      <c r="A116" s="1" t="s">
        <v>838</v>
      </c>
      <c r="B116" s="2">
        <v>45650</v>
      </c>
      <c r="C116" s="2" t="str">
        <f>TEXT(E_Commerce_data[[#This Row],[order_date]],"MMM")</f>
        <v>Dec</v>
      </c>
      <c r="D116" s="1" t="s">
        <v>514</v>
      </c>
      <c r="E116" s="1" t="s">
        <v>515</v>
      </c>
      <c r="F116" s="1" t="s">
        <v>18</v>
      </c>
      <c r="G116" s="1" t="s">
        <v>19</v>
      </c>
      <c r="H116" s="2">
        <v>45386</v>
      </c>
      <c r="I116" s="1" t="s">
        <v>822</v>
      </c>
      <c r="J116" s="1" t="s">
        <v>823</v>
      </c>
      <c r="K116" s="1" t="s">
        <v>560</v>
      </c>
      <c r="L116" s="1">
        <v>45275.73</v>
      </c>
      <c r="M116" s="1">
        <v>5</v>
      </c>
      <c r="N116" s="1">
        <v>0</v>
      </c>
      <c r="O116" s="1">
        <v>226378.65</v>
      </c>
      <c r="P116" s="1">
        <v>79226.27</v>
      </c>
    </row>
    <row r="117" spans="1:16" x14ac:dyDescent="0.3">
      <c r="A117" s="1" t="s">
        <v>1175</v>
      </c>
      <c r="B117" s="2">
        <v>45959</v>
      </c>
      <c r="C117" s="2" t="str">
        <f>TEXT(E_Commerce_data[[#This Row],[order_date]],"MMM")</f>
        <v>Oct</v>
      </c>
      <c r="D117" s="1" t="s">
        <v>118</v>
      </c>
      <c r="E117" s="1" t="s">
        <v>119</v>
      </c>
      <c r="F117" s="1" t="s">
        <v>26</v>
      </c>
      <c r="G117" s="1" t="s">
        <v>27</v>
      </c>
      <c r="H117" s="2">
        <v>45086</v>
      </c>
      <c r="I117" s="1" t="s">
        <v>1162</v>
      </c>
      <c r="J117" s="1" t="s">
        <v>1163</v>
      </c>
      <c r="K117" s="1" t="s">
        <v>902</v>
      </c>
      <c r="L117" s="1">
        <v>10751.13</v>
      </c>
      <c r="M117" s="1">
        <v>2</v>
      </c>
      <c r="N117" s="1">
        <v>0.15</v>
      </c>
      <c r="O117" s="1">
        <v>18276.919999999998</v>
      </c>
      <c r="P117" s="1">
        <v>1290.0899999999999</v>
      </c>
    </row>
    <row r="118" spans="1:16" x14ac:dyDescent="0.3">
      <c r="A118" s="1" t="s">
        <v>640</v>
      </c>
      <c r="B118" s="2">
        <v>45545</v>
      </c>
      <c r="C118" s="2" t="str">
        <f>TEXT(E_Commerce_data[[#This Row],[order_date]],"MMM")</f>
        <v>Sep</v>
      </c>
      <c r="D118" s="1" t="s">
        <v>112</v>
      </c>
      <c r="E118" s="1" t="s">
        <v>113</v>
      </c>
      <c r="F118" s="1" t="s">
        <v>55</v>
      </c>
      <c r="G118" s="1" t="s">
        <v>27</v>
      </c>
      <c r="H118" s="2">
        <v>45602</v>
      </c>
      <c r="I118" s="1" t="s">
        <v>633</v>
      </c>
      <c r="J118" s="1" t="s">
        <v>634</v>
      </c>
      <c r="K118" s="1" t="s">
        <v>560</v>
      </c>
      <c r="L118" s="1">
        <v>3596.1</v>
      </c>
      <c r="M118" s="1">
        <v>1</v>
      </c>
      <c r="N118" s="1">
        <v>0.2</v>
      </c>
      <c r="O118" s="1">
        <v>2876.88</v>
      </c>
      <c r="P118" s="1">
        <v>170.62</v>
      </c>
    </row>
    <row r="119" spans="1:16" x14ac:dyDescent="0.3">
      <c r="A119" s="1" t="s">
        <v>839</v>
      </c>
      <c r="B119" s="2">
        <v>45448</v>
      </c>
      <c r="C119" s="2" t="str">
        <f>TEXT(E_Commerce_data[[#This Row],[order_date]],"MMM")</f>
        <v>Jun</v>
      </c>
      <c r="D119" s="1" t="s">
        <v>57</v>
      </c>
      <c r="E119" s="1" t="s">
        <v>58</v>
      </c>
      <c r="F119" s="1" t="s">
        <v>55</v>
      </c>
      <c r="G119" s="1" t="s">
        <v>27</v>
      </c>
      <c r="H119" s="2">
        <v>45391</v>
      </c>
      <c r="I119" s="1" t="s">
        <v>822</v>
      </c>
      <c r="J119" s="1" t="s">
        <v>823</v>
      </c>
      <c r="K119" s="1" t="s">
        <v>560</v>
      </c>
      <c r="L119" s="1">
        <v>45275.73</v>
      </c>
      <c r="M119" s="1">
        <v>2</v>
      </c>
      <c r="N119" s="1">
        <v>0.2</v>
      </c>
      <c r="O119" s="1">
        <v>72441.17</v>
      </c>
      <c r="P119" s="1">
        <v>4064.96</v>
      </c>
    </row>
    <row r="120" spans="1:16" x14ac:dyDescent="0.3">
      <c r="A120" s="1" t="s">
        <v>40</v>
      </c>
      <c r="B120" s="2">
        <v>45409</v>
      </c>
      <c r="C120" s="2" t="str">
        <f>TEXT(E_Commerce_data[[#This Row],[order_date]],"MMM")</f>
        <v>Apr</v>
      </c>
      <c r="D120" s="1" t="s">
        <v>41</v>
      </c>
      <c r="E120" s="1" t="s">
        <v>42</v>
      </c>
      <c r="F120" s="1" t="s">
        <v>43</v>
      </c>
      <c r="G120" s="1" t="s">
        <v>32</v>
      </c>
      <c r="H120" s="2">
        <v>45020</v>
      </c>
      <c r="I120" s="1" t="s">
        <v>20</v>
      </c>
      <c r="J120" s="1" t="s">
        <v>21</v>
      </c>
      <c r="K120" s="1" t="s">
        <v>22</v>
      </c>
      <c r="L120" s="1">
        <v>6094.16</v>
      </c>
      <c r="M120" s="1">
        <v>2</v>
      </c>
      <c r="N120" s="1">
        <v>0</v>
      </c>
      <c r="O120" s="1">
        <v>12188.32</v>
      </c>
      <c r="P120" s="1">
        <v>2340.9899999999998</v>
      </c>
    </row>
    <row r="121" spans="1:16" x14ac:dyDescent="0.3">
      <c r="A121" s="1" t="s">
        <v>239</v>
      </c>
      <c r="B121" s="2">
        <v>45554</v>
      </c>
      <c r="C121" s="2" t="str">
        <f>TEXT(E_Commerce_data[[#This Row],[order_date]],"MMM")</f>
        <v>Sep</v>
      </c>
      <c r="D121" s="1" t="s">
        <v>171</v>
      </c>
      <c r="E121" s="1" t="s">
        <v>172</v>
      </c>
      <c r="F121" s="1" t="s">
        <v>47</v>
      </c>
      <c r="G121" s="1" t="s">
        <v>48</v>
      </c>
      <c r="H121" s="2">
        <v>45093</v>
      </c>
      <c r="I121" s="1" t="s">
        <v>215</v>
      </c>
      <c r="J121" s="1" t="s">
        <v>216</v>
      </c>
      <c r="K121" s="1" t="s">
        <v>22</v>
      </c>
      <c r="L121" s="1">
        <v>11273.63</v>
      </c>
      <c r="M121" s="1">
        <v>5</v>
      </c>
      <c r="N121" s="1">
        <v>0</v>
      </c>
      <c r="O121" s="1">
        <v>56368.15</v>
      </c>
      <c r="P121" s="1">
        <v>10682.34</v>
      </c>
    </row>
    <row r="122" spans="1:16" x14ac:dyDescent="0.3">
      <c r="A122" s="1" t="s">
        <v>567</v>
      </c>
      <c r="B122" s="2">
        <v>45409</v>
      </c>
      <c r="C122" s="2" t="str">
        <f>TEXT(E_Commerce_data[[#This Row],[order_date]],"MMM")</f>
        <v>Apr</v>
      </c>
      <c r="D122" s="1" t="s">
        <v>165</v>
      </c>
      <c r="E122" s="1" t="s">
        <v>166</v>
      </c>
      <c r="F122" s="1" t="s">
        <v>36</v>
      </c>
      <c r="G122" s="1" t="s">
        <v>32</v>
      </c>
      <c r="H122" s="2">
        <v>45039</v>
      </c>
      <c r="I122" s="1" t="s">
        <v>558</v>
      </c>
      <c r="J122" s="1" t="s">
        <v>559</v>
      </c>
      <c r="K122" s="1" t="s">
        <v>560</v>
      </c>
      <c r="L122" s="1">
        <v>11049.86</v>
      </c>
      <c r="M122" s="1">
        <v>3</v>
      </c>
      <c r="N122" s="1">
        <v>0</v>
      </c>
      <c r="O122" s="1">
        <v>33149.58</v>
      </c>
      <c r="P122" s="1">
        <v>7683.01</v>
      </c>
    </row>
    <row r="123" spans="1:16" x14ac:dyDescent="0.3">
      <c r="A123" s="1" t="s">
        <v>974</v>
      </c>
      <c r="B123" s="2">
        <v>45318</v>
      </c>
      <c r="C123" s="2" t="str">
        <f>TEXT(E_Commerce_data[[#This Row],[order_date]],"MMM")</f>
        <v>Jan</v>
      </c>
      <c r="D123" s="1" t="s">
        <v>243</v>
      </c>
      <c r="E123" s="1" t="s">
        <v>244</v>
      </c>
      <c r="F123" s="1" t="s">
        <v>18</v>
      </c>
      <c r="G123" s="1" t="s">
        <v>19</v>
      </c>
      <c r="H123" s="2">
        <v>45223</v>
      </c>
      <c r="I123" s="1" t="s">
        <v>964</v>
      </c>
      <c r="J123" s="1" t="s">
        <v>965</v>
      </c>
      <c r="K123" s="1" t="s">
        <v>902</v>
      </c>
      <c r="L123" s="1">
        <v>3589.32</v>
      </c>
      <c r="M123" s="1">
        <v>2</v>
      </c>
      <c r="N123" s="1">
        <v>0</v>
      </c>
      <c r="O123" s="1">
        <v>7178.64</v>
      </c>
      <c r="P123" s="1">
        <v>591.73</v>
      </c>
    </row>
    <row r="124" spans="1:16" x14ac:dyDescent="0.3">
      <c r="A124" s="1" t="s">
        <v>502</v>
      </c>
      <c r="B124" s="2">
        <v>45676</v>
      </c>
      <c r="C124" s="2" t="str">
        <f>TEXT(E_Commerce_data[[#This Row],[order_date]],"MMM")</f>
        <v>Jan</v>
      </c>
      <c r="D124" s="1" t="s">
        <v>186</v>
      </c>
      <c r="E124" s="1" t="s">
        <v>187</v>
      </c>
      <c r="F124" s="1" t="s">
        <v>26</v>
      </c>
      <c r="G124" s="1" t="s">
        <v>27</v>
      </c>
      <c r="H124" s="2">
        <v>45493</v>
      </c>
      <c r="I124" s="1" t="s">
        <v>489</v>
      </c>
      <c r="J124" s="1" t="s">
        <v>490</v>
      </c>
      <c r="K124" s="1" t="s">
        <v>22</v>
      </c>
      <c r="L124" s="1">
        <v>11544.23</v>
      </c>
      <c r="M124" s="1">
        <v>3</v>
      </c>
      <c r="N124" s="1">
        <v>0.1</v>
      </c>
      <c r="O124" s="1">
        <v>31169.42</v>
      </c>
      <c r="P124" s="1">
        <v>7892.23</v>
      </c>
    </row>
    <row r="125" spans="1:16" x14ac:dyDescent="0.3">
      <c r="A125" s="1" t="s">
        <v>714</v>
      </c>
      <c r="B125" s="2">
        <v>45898</v>
      </c>
      <c r="C125" s="2" t="str">
        <f>TEXT(E_Commerce_data[[#This Row],[order_date]],"MMM")</f>
        <v>Aug</v>
      </c>
      <c r="D125" s="1" t="s">
        <v>165</v>
      </c>
      <c r="E125" s="1" t="s">
        <v>166</v>
      </c>
      <c r="F125" s="1" t="s">
        <v>36</v>
      </c>
      <c r="G125" s="1" t="s">
        <v>32</v>
      </c>
      <c r="H125" s="2">
        <v>45039</v>
      </c>
      <c r="I125" s="1" t="s">
        <v>706</v>
      </c>
      <c r="J125" s="1" t="s">
        <v>707</v>
      </c>
      <c r="K125" s="1" t="s">
        <v>560</v>
      </c>
      <c r="L125" s="1">
        <v>31573.59</v>
      </c>
      <c r="M125" s="1">
        <v>4</v>
      </c>
      <c r="N125" s="1">
        <v>0.15</v>
      </c>
      <c r="O125" s="1">
        <v>107350.21</v>
      </c>
      <c r="P125" s="1">
        <v>11754.73</v>
      </c>
    </row>
    <row r="126" spans="1:16" x14ac:dyDescent="0.3">
      <c r="A126" s="1" t="s">
        <v>840</v>
      </c>
      <c r="B126" s="2">
        <v>45600</v>
      </c>
      <c r="C126" s="2" t="str">
        <f>TEXT(E_Commerce_data[[#This Row],[order_date]],"MMM")</f>
        <v>Nov</v>
      </c>
      <c r="D126" s="1" t="s">
        <v>218</v>
      </c>
      <c r="E126" s="1" t="s">
        <v>219</v>
      </c>
      <c r="F126" s="1" t="s">
        <v>47</v>
      </c>
      <c r="G126" s="1" t="s">
        <v>48</v>
      </c>
      <c r="H126" s="2">
        <v>45241</v>
      </c>
      <c r="I126" s="1" t="s">
        <v>822</v>
      </c>
      <c r="J126" s="1" t="s">
        <v>823</v>
      </c>
      <c r="K126" s="1" t="s">
        <v>560</v>
      </c>
      <c r="L126" s="1">
        <v>45275.73</v>
      </c>
      <c r="M126" s="1">
        <v>2</v>
      </c>
      <c r="N126" s="1">
        <v>0</v>
      </c>
      <c r="O126" s="1">
        <v>90551.46</v>
      </c>
      <c r="P126" s="1">
        <v>23467.13</v>
      </c>
    </row>
    <row r="127" spans="1:16" x14ac:dyDescent="0.3">
      <c r="A127" s="1" t="s">
        <v>1176</v>
      </c>
      <c r="B127" s="2">
        <v>45871</v>
      </c>
      <c r="C127" s="2" t="str">
        <f>TEXT(E_Commerce_data[[#This Row],[order_date]],"MMM")</f>
        <v>Aug</v>
      </c>
      <c r="D127" s="1" t="s">
        <v>266</v>
      </c>
      <c r="E127" s="1" t="s">
        <v>267</v>
      </c>
      <c r="F127" s="1" t="s">
        <v>72</v>
      </c>
      <c r="G127" s="1" t="s">
        <v>48</v>
      </c>
      <c r="H127" s="2">
        <v>45316</v>
      </c>
      <c r="I127" s="1" t="s">
        <v>1162</v>
      </c>
      <c r="J127" s="1" t="s">
        <v>1163</v>
      </c>
      <c r="K127" s="1" t="s">
        <v>902</v>
      </c>
      <c r="L127" s="1">
        <v>10751.13</v>
      </c>
      <c r="M127" s="1">
        <v>5</v>
      </c>
      <c r="N127" s="1">
        <v>0.2</v>
      </c>
      <c r="O127" s="1">
        <v>43004.52</v>
      </c>
      <c r="P127" s="1">
        <v>3712</v>
      </c>
    </row>
    <row r="128" spans="1:16" x14ac:dyDescent="0.3">
      <c r="A128" s="1" t="s">
        <v>1041</v>
      </c>
      <c r="B128" s="2">
        <v>45969</v>
      </c>
      <c r="C128" s="2" t="str">
        <f>TEXT(E_Commerce_data[[#This Row],[order_date]],"MMM")</f>
        <v>Nov</v>
      </c>
      <c r="D128" s="1" t="s">
        <v>179</v>
      </c>
      <c r="E128" s="1" t="s">
        <v>180</v>
      </c>
      <c r="F128" s="1" t="s">
        <v>47</v>
      </c>
      <c r="G128" s="1" t="s">
        <v>48</v>
      </c>
      <c r="H128" s="2">
        <v>45337</v>
      </c>
      <c r="I128" s="1" t="s">
        <v>1034</v>
      </c>
      <c r="J128" s="1" t="s">
        <v>1035</v>
      </c>
      <c r="K128" s="1" t="s">
        <v>902</v>
      </c>
      <c r="L128" s="1">
        <v>11938.33</v>
      </c>
      <c r="M128" s="1">
        <v>1</v>
      </c>
      <c r="N128" s="1">
        <v>0</v>
      </c>
      <c r="O128" s="1">
        <v>11938.33</v>
      </c>
      <c r="P128" s="1">
        <v>2504.94</v>
      </c>
    </row>
    <row r="129" spans="1:16" x14ac:dyDescent="0.3">
      <c r="A129" s="1" t="s">
        <v>1107</v>
      </c>
      <c r="B129" s="2">
        <v>45641</v>
      </c>
      <c r="C129" s="2" t="str">
        <f>TEXT(E_Commerce_data[[#This Row],[order_date]],"MMM")</f>
        <v>Dec</v>
      </c>
      <c r="D129" s="1" t="s">
        <v>277</v>
      </c>
      <c r="E129" s="1" t="s">
        <v>278</v>
      </c>
      <c r="F129" s="1" t="s">
        <v>43</v>
      </c>
      <c r="G129" s="1" t="s">
        <v>32</v>
      </c>
      <c r="H129" s="2">
        <v>44997</v>
      </c>
      <c r="I129" s="1" t="s">
        <v>1102</v>
      </c>
      <c r="J129" s="1" t="s">
        <v>1103</v>
      </c>
      <c r="K129" s="1" t="s">
        <v>902</v>
      </c>
      <c r="L129" s="1">
        <v>33465.440000000002</v>
      </c>
      <c r="M129" s="1">
        <v>3</v>
      </c>
      <c r="N129" s="1">
        <v>0</v>
      </c>
      <c r="O129" s="1">
        <v>100396.32</v>
      </c>
      <c r="P129" s="1">
        <v>20258.8</v>
      </c>
    </row>
    <row r="130" spans="1:16" x14ac:dyDescent="0.3">
      <c r="A130" s="1" t="s">
        <v>770</v>
      </c>
      <c r="B130" s="2">
        <v>45793</v>
      </c>
      <c r="C130" s="2" t="str">
        <f>TEXT(E_Commerce_data[[#This Row],[order_date]],"MMM")</f>
        <v>May</v>
      </c>
      <c r="D130" s="1" t="s">
        <v>366</v>
      </c>
      <c r="E130" s="1" t="s">
        <v>367</v>
      </c>
      <c r="F130" s="1" t="s">
        <v>47</v>
      </c>
      <c r="G130" s="1" t="s">
        <v>48</v>
      </c>
      <c r="H130" s="2">
        <v>45144</v>
      </c>
      <c r="I130" s="1" t="s">
        <v>763</v>
      </c>
      <c r="J130" s="1" t="s">
        <v>764</v>
      </c>
      <c r="K130" s="1" t="s">
        <v>560</v>
      </c>
      <c r="L130" s="1">
        <v>11485.64</v>
      </c>
      <c r="M130" s="1">
        <v>1</v>
      </c>
      <c r="N130" s="1">
        <v>0.2</v>
      </c>
      <c r="O130" s="1">
        <v>9188.51</v>
      </c>
      <c r="P130" s="1">
        <v>1617.34</v>
      </c>
    </row>
    <row r="131" spans="1:16" x14ac:dyDescent="0.3">
      <c r="A131" s="1" t="s">
        <v>715</v>
      </c>
      <c r="B131" s="2">
        <v>45942</v>
      </c>
      <c r="C131" s="2" t="str">
        <f>TEXT(E_Commerce_data[[#This Row],[order_date]],"MMM")</f>
        <v>Oct</v>
      </c>
      <c r="D131" s="1" t="s">
        <v>132</v>
      </c>
      <c r="E131" s="1" t="s">
        <v>133</v>
      </c>
      <c r="F131" s="1" t="s">
        <v>76</v>
      </c>
      <c r="G131" s="1" t="s">
        <v>32</v>
      </c>
      <c r="H131" s="2">
        <v>45359</v>
      </c>
      <c r="I131" s="1" t="s">
        <v>706</v>
      </c>
      <c r="J131" s="1" t="s">
        <v>707</v>
      </c>
      <c r="K131" s="1" t="s">
        <v>560</v>
      </c>
      <c r="L131" s="1">
        <v>31573.59</v>
      </c>
      <c r="M131" s="1">
        <v>1</v>
      </c>
      <c r="N131" s="1">
        <v>0.05</v>
      </c>
      <c r="O131" s="1">
        <v>29994.91</v>
      </c>
      <c r="P131" s="1">
        <v>10145.370000000001</v>
      </c>
    </row>
    <row r="132" spans="1:16" x14ac:dyDescent="0.3">
      <c r="A132" s="1" t="s">
        <v>1108</v>
      </c>
      <c r="B132" s="2">
        <v>45472</v>
      </c>
      <c r="C132" s="2" t="str">
        <f>TEXT(E_Commerce_data[[#This Row],[order_date]],"MMM")</f>
        <v>Jun</v>
      </c>
      <c r="D132" s="1" t="s">
        <v>354</v>
      </c>
      <c r="E132" s="1" t="s">
        <v>355</v>
      </c>
      <c r="F132" s="1" t="s">
        <v>26</v>
      </c>
      <c r="G132" s="1" t="s">
        <v>27</v>
      </c>
      <c r="H132" s="2">
        <v>45582</v>
      </c>
      <c r="I132" s="1" t="s">
        <v>1102</v>
      </c>
      <c r="J132" s="1" t="s">
        <v>1103</v>
      </c>
      <c r="K132" s="1" t="s">
        <v>902</v>
      </c>
      <c r="L132" s="1">
        <v>33465.440000000002</v>
      </c>
      <c r="M132" s="1">
        <v>4</v>
      </c>
      <c r="N132" s="1">
        <v>0.15</v>
      </c>
      <c r="O132" s="1">
        <v>113782.5</v>
      </c>
      <c r="P132" s="1">
        <v>10911.44</v>
      </c>
    </row>
    <row r="133" spans="1:16" x14ac:dyDescent="0.3">
      <c r="A133" s="1" t="s">
        <v>327</v>
      </c>
      <c r="B133" s="2">
        <v>45843</v>
      </c>
      <c r="C133" s="2" t="str">
        <f>TEXT(E_Commerce_data[[#This Row],[order_date]],"MMM")</f>
        <v>Jul</v>
      </c>
      <c r="D133" s="1" t="s">
        <v>102</v>
      </c>
      <c r="E133" s="1" t="s">
        <v>103</v>
      </c>
      <c r="F133" s="1" t="s">
        <v>93</v>
      </c>
      <c r="G133" s="1" t="s">
        <v>27</v>
      </c>
      <c r="H133" s="2">
        <v>45548</v>
      </c>
      <c r="I133" s="1" t="s">
        <v>315</v>
      </c>
      <c r="J133" s="1" t="s">
        <v>316</v>
      </c>
      <c r="K133" s="1" t="s">
        <v>22</v>
      </c>
      <c r="L133" s="1">
        <v>16937.37</v>
      </c>
      <c r="M133" s="1">
        <v>5</v>
      </c>
      <c r="N133" s="1">
        <v>0.15</v>
      </c>
      <c r="O133" s="1">
        <v>71983.820000000007</v>
      </c>
      <c r="P133" s="1">
        <v>9431.66</v>
      </c>
    </row>
    <row r="134" spans="1:16" x14ac:dyDescent="0.3">
      <c r="A134" s="1" t="s">
        <v>44</v>
      </c>
      <c r="B134" s="2">
        <v>45898</v>
      </c>
      <c r="C134" s="2" t="str">
        <f>TEXT(E_Commerce_data[[#This Row],[order_date]],"MMM")</f>
        <v>Aug</v>
      </c>
      <c r="D134" s="1" t="s">
        <v>45</v>
      </c>
      <c r="E134" s="1" t="s">
        <v>46</v>
      </c>
      <c r="F134" s="1" t="s">
        <v>47</v>
      </c>
      <c r="G134" s="1" t="s">
        <v>48</v>
      </c>
      <c r="H134" s="2">
        <v>45290</v>
      </c>
      <c r="I134" s="1" t="s">
        <v>20</v>
      </c>
      <c r="J134" s="1" t="s">
        <v>21</v>
      </c>
      <c r="K134" s="1" t="s">
        <v>22</v>
      </c>
      <c r="L134" s="1">
        <v>6094.16</v>
      </c>
      <c r="M134" s="1">
        <v>4</v>
      </c>
      <c r="N134" s="1">
        <v>0.05</v>
      </c>
      <c r="O134" s="1">
        <v>23157.81</v>
      </c>
      <c r="P134" s="1">
        <v>4183.9799999999996</v>
      </c>
    </row>
    <row r="135" spans="1:16" x14ac:dyDescent="0.3">
      <c r="A135" s="1" t="s">
        <v>907</v>
      </c>
      <c r="B135" s="2">
        <v>45380</v>
      </c>
      <c r="C135" s="2" t="str">
        <f>TEXT(E_Commerce_data[[#This Row],[order_date]],"MMM")</f>
        <v>Mar</v>
      </c>
      <c r="D135" s="1" t="s">
        <v>263</v>
      </c>
      <c r="E135" s="1" t="s">
        <v>264</v>
      </c>
      <c r="F135" s="1" t="s">
        <v>36</v>
      </c>
      <c r="G135" s="1" t="s">
        <v>32</v>
      </c>
      <c r="H135" s="2">
        <v>45397</v>
      </c>
      <c r="I135" s="1" t="s">
        <v>900</v>
      </c>
      <c r="J135" s="1" t="s">
        <v>901</v>
      </c>
      <c r="K135" s="1" t="s">
        <v>902</v>
      </c>
      <c r="L135" s="1">
        <v>42988.79</v>
      </c>
      <c r="M135" s="1">
        <v>3</v>
      </c>
      <c r="N135" s="1">
        <v>0</v>
      </c>
      <c r="O135" s="1">
        <v>128966.37</v>
      </c>
      <c r="P135" s="1">
        <v>39401.019999999997</v>
      </c>
    </row>
    <row r="136" spans="1:16" x14ac:dyDescent="0.3">
      <c r="A136" s="1" t="s">
        <v>240</v>
      </c>
      <c r="B136" s="2">
        <v>45767</v>
      </c>
      <c r="C136" s="2" t="str">
        <f>TEXT(E_Commerce_data[[#This Row],[order_date]],"MMM")</f>
        <v>Apr</v>
      </c>
      <c r="D136" s="1" t="s">
        <v>121</v>
      </c>
      <c r="E136" s="1" t="s">
        <v>122</v>
      </c>
      <c r="F136" s="1" t="s">
        <v>26</v>
      </c>
      <c r="G136" s="1" t="s">
        <v>27</v>
      </c>
      <c r="H136" s="2">
        <v>44994</v>
      </c>
      <c r="I136" s="1" t="s">
        <v>215</v>
      </c>
      <c r="J136" s="1" t="s">
        <v>216</v>
      </c>
      <c r="K136" s="1" t="s">
        <v>22</v>
      </c>
      <c r="L136" s="1">
        <v>11273.63</v>
      </c>
      <c r="M136" s="1">
        <v>3</v>
      </c>
      <c r="N136" s="1">
        <v>0.05</v>
      </c>
      <c r="O136" s="1">
        <v>32129.85</v>
      </c>
      <c r="P136" s="1">
        <v>3957.08</v>
      </c>
    </row>
    <row r="137" spans="1:16" x14ac:dyDescent="0.3">
      <c r="A137" s="1" t="s">
        <v>1042</v>
      </c>
      <c r="B137" s="2">
        <v>45636</v>
      </c>
      <c r="C137" s="2" t="str">
        <f>TEXT(E_Commerce_data[[#This Row],[order_date]],"MMM")</f>
        <v>Dec</v>
      </c>
      <c r="D137" s="1" t="s">
        <v>297</v>
      </c>
      <c r="E137" s="1" t="s">
        <v>298</v>
      </c>
      <c r="F137" s="1" t="s">
        <v>47</v>
      </c>
      <c r="G137" s="1" t="s">
        <v>48</v>
      </c>
      <c r="H137" s="2">
        <v>45092</v>
      </c>
      <c r="I137" s="1" t="s">
        <v>1034</v>
      </c>
      <c r="J137" s="1" t="s">
        <v>1035</v>
      </c>
      <c r="K137" s="1" t="s">
        <v>902</v>
      </c>
      <c r="L137" s="1">
        <v>11938.33</v>
      </c>
      <c r="M137" s="1">
        <v>5</v>
      </c>
      <c r="N137" s="1">
        <v>0.1</v>
      </c>
      <c r="O137" s="1">
        <v>53722.48</v>
      </c>
      <c r="P137" s="1">
        <v>13455.15</v>
      </c>
    </row>
    <row r="138" spans="1:16" x14ac:dyDescent="0.3">
      <c r="A138" s="1" t="s">
        <v>1043</v>
      </c>
      <c r="B138" s="2">
        <v>45478</v>
      </c>
      <c r="C138" s="2" t="str">
        <f>TEXT(E_Commerce_data[[#This Row],[order_date]],"MMM")</f>
        <v>Jul</v>
      </c>
      <c r="D138" s="1" t="s">
        <v>109</v>
      </c>
      <c r="E138" s="1" t="s">
        <v>110</v>
      </c>
      <c r="F138" s="1" t="s">
        <v>31</v>
      </c>
      <c r="G138" s="1" t="s">
        <v>32</v>
      </c>
      <c r="H138" s="2">
        <v>45026</v>
      </c>
      <c r="I138" s="1" t="s">
        <v>1034</v>
      </c>
      <c r="J138" s="1" t="s">
        <v>1035</v>
      </c>
      <c r="K138" s="1" t="s">
        <v>902</v>
      </c>
      <c r="L138" s="1">
        <v>11938.33</v>
      </c>
      <c r="M138" s="1">
        <v>1</v>
      </c>
      <c r="N138" s="1">
        <v>0.05</v>
      </c>
      <c r="O138" s="1">
        <v>11341.41</v>
      </c>
      <c r="P138" s="1">
        <v>3462.37</v>
      </c>
    </row>
    <row r="139" spans="1:16" x14ac:dyDescent="0.3">
      <c r="A139" s="1" t="s">
        <v>1177</v>
      </c>
      <c r="B139" s="2">
        <v>45556</v>
      </c>
      <c r="C139" s="2" t="str">
        <f>TEXT(E_Commerce_data[[#This Row],[order_date]],"MMM")</f>
        <v>Sep</v>
      </c>
      <c r="D139" s="1" t="s">
        <v>53</v>
      </c>
      <c r="E139" s="1" t="s">
        <v>54</v>
      </c>
      <c r="F139" s="1" t="s">
        <v>55</v>
      </c>
      <c r="G139" s="1" t="s">
        <v>27</v>
      </c>
      <c r="H139" s="2">
        <v>45623</v>
      </c>
      <c r="I139" s="1" t="s">
        <v>1162</v>
      </c>
      <c r="J139" s="1" t="s">
        <v>1163</v>
      </c>
      <c r="K139" s="1" t="s">
        <v>902</v>
      </c>
      <c r="L139" s="1">
        <v>10751.13</v>
      </c>
      <c r="M139" s="1">
        <v>4</v>
      </c>
      <c r="N139" s="1">
        <v>0</v>
      </c>
      <c r="O139" s="1">
        <v>43004.52</v>
      </c>
      <c r="P139" s="1">
        <v>6727.95</v>
      </c>
    </row>
    <row r="140" spans="1:16" x14ac:dyDescent="0.3">
      <c r="A140" s="1" t="s">
        <v>429</v>
      </c>
      <c r="B140" s="2">
        <v>46010</v>
      </c>
      <c r="C140" s="2" t="str">
        <f>TEXT(E_Commerce_data[[#This Row],[order_date]],"MMM")</f>
        <v>Dec</v>
      </c>
      <c r="D140" s="1" t="s">
        <v>341</v>
      </c>
      <c r="E140" s="1" t="s">
        <v>342</v>
      </c>
      <c r="F140" s="1" t="s">
        <v>93</v>
      </c>
      <c r="G140" s="1" t="s">
        <v>27</v>
      </c>
      <c r="H140" s="2">
        <v>45633</v>
      </c>
      <c r="I140" s="1" t="s">
        <v>420</v>
      </c>
      <c r="J140" s="1" t="s">
        <v>421</v>
      </c>
      <c r="K140" s="1" t="s">
        <v>22</v>
      </c>
      <c r="L140" s="1">
        <v>29436.02</v>
      </c>
      <c r="M140" s="1">
        <v>3</v>
      </c>
      <c r="N140" s="1">
        <v>0</v>
      </c>
      <c r="O140" s="1">
        <v>88308.06</v>
      </c>
      <c r="P140" s="1">
        <v>27737.21</v>
      </c>
    </row>
    <row r="141" spans="1:16" x14ac:dyDescent="0.3">
      <c r="A141" s="1" t="s">
        <v>1109</v>
      </c>
      <c r="B141" s="2">
        <v>45487</v>
      </c>
      <c r="C141" s="2" t="str">
        <f>TEXT(E_Commerce_data[[#This Row],[order_date]],"MMM")</f>
        <v>Jul</v>
      </c>
      <c r="D141" s="1" t="s">
        <v>371</v>
      </c>
      <c r="E141" s="1" t="s">
        <v>372</v>
      </c>
      <c r="F141" s="1" t="s">
        <v>31</v>
      </c>
      <c r="G141" s="1" t="s">
        <v>32</v>
      </c>
      <c r="H141" s="2">
        <v>45007</v>
      </c>
      <c r="I141" s="1" t="s">
        <v>1102</v>
      </c>
      <c r="J141" s="1" t="s">
        <v>1103</v>
      </c>
      <c r="K141" s="1" t="s">
        <v>902</v>
      </c>
      <c r="L141" s="1">
        <v>33465.440000000002</v>
      </c>
      <c r="M141" s="1">
        <v>3</v>
      </c>
      <c r="N141" s="1">
        <v>0.1</v>
      </c>
      <c r="O141" s="1">
        <v>90356.69</v>
      </c>
      <c r="P141" s="1">
        <v>4793</v>
      </c>
    </row>
    <row r="142" spans="1:16" x14ac:dyDescent="0.3">
      <c r="A142" s="1" t="s">
        <v>771</v>
      </c>
      <c r="B142" s="2">
        <v>45792</v>
      </c>
      <c r="C142" s="2" t="str">
        <f>TEXT(E_Commerce_data[[#This Row],[order_date]],"MMM")</f>
        <v>May</v>
      </c>
      <c r="D142" s="1" t="s">
        <v>335</v>
      </c>
      <c r="E142" s="1" t="s">
        <v>336</v>
      </c>
      <c r="F142" s="1" t="s">
        <v>43</v>
      </c>
      <c r="G142" s="1" t="s">
        <v>32</v>
      </c>
      <c r="H142" s="2">
        <v>45315</v>
      </c>
      <c r="I142" s="1" t="s">
        <v>763</v>
      </c>
      <c r="J142" s="1" t="s">
        <v>764</v>
      </c>
      <c r="K142" s="1" t="s">
        <v>560</v>
      </c>
      <c r="L142" s="1">
        <v>11485.64</v>
      </c>
      <c r="M142" s="1">
        <v>1</v>
      </c>
      <c r="N142" s="1">
        <v>0</v>
      </c>
      <c r="O142" s="1">
        <v>11485.64</v>
      </c>
      <c r="P142" s="1">
        <v>3055.44</v>
      </c>
    </row>
    <row r="143" spans="1:16" x14ac:dyDescent="0.3">
      <c r="A143" s="1" t="s">
        <v>1110</v>
      </c>
      <c r="B143" s="2">
        <v>45779</v>
      </c>
      <c r="C143" s="2" t="str">
        <f>TEXT(E_Commerce_data[[#This Row],[order_date]],"MMM")</f>
        <v>May</v>
      </c>
      <c r="D143" s="1" t="s">
        <v>199</v>
      </c>
      <c r="E143" s="1" t="s">
        <v>200</v>
      </c>
      <c r="F143" s="1" t="s">
        <v>36</v>
      </c>
      <c r="G143" s="1" t="s">
        <v>32</v>
      </c>
      <c r="H143" s="2">
        <v>45196</v>
      </c>
      <c r="I143" s="1" t="s">
        <v>1102</v>
      </c>
      <c r="J143" s="1" t="s">
        <v>1103</v>
      </c>
      <c r="K143" s="1" t="s">
        <v>902</v>
      </c>
      <c r="L143" s="1">
        <v>33465.440000000002</v>
      </c>
      <c r="M143" s="1">
        <v>5</v>
      </c>
      <c r="N143" s="1">
        <v>0.2</v>
      </c>
      <c r="O143" s="1">
        <v>133861.76000000001</v>
      </c>
      <c r="P143" s="1">
        <v>16344.14</v>
      </c>
    </row>
    <row r="144" spans="1:16" x14ac:dyDescent="0.3">
      <c r="A144" s="1" t="s">
        <v>641</v>
      </c>
      <c r="B144" s="2">
        <v>45387</v>
      </c>
      <c r="C144" s="2" t="str">
        <f>TEXT(E_Commerce_data[[#This Row],[order_date]],"MMM")</f>
        <v>Apr</v>
      </c>
      <c r="D144" s="1" t="s">
        <v>78</v>
      </c>
      <c r="E144" s="1" t="s">
        <v>79</v>
      </c>
      <c r="F144" s="1" t="s">
        <v>76</v>
      </c>
      <c r="G144" s="1" t="s">
        <v>32</v>
      </c>
      <c r="H144" s="2">
        <v>45365</v>
      </c>
      <c r="I144" s="1" t="s">
        <v>633</v>
      </c>
      <c r="J144" s="1" t="s">
        <v>634</v>
      </c>
      <c r="K144" s="1" t="s">
        <v>560</v>
      </c>
      <c r="L144" s="1">
        <v>3596.1</v>
      </c>
      <c r="M144" s="1">
        <v>4</v>
      </c>
      <c r="N144" s="1">
        <v>0.05</v>
      </c>
      <c r="O144" s="1">
        <v>13665.18</v>
      </c>
      <c r="P144" s="1">
        <v>3933.93</v>
      </c>
    </row>
    <row r="145" spans="1:16" x14ac:dyDescent="0.3">
      <c r="A145" s="1" t="s">
        <v>716</v>
      </c>
      <c r="B145" s="2">
        <v>45541</v>
      </c>
      <c r="C145" s="2" t="str">
        <f>TEXT(E_Commerce_data[[#This Row],[order_date]],"MMM")</f>
        <v>Sep</v>
      </c>
      <c r="D145" s="1" t="s">
        <v>16</v>
      </c>
      <c r="E145" s="1" t="s">
        <v>17</v>
      </c>
      <c r="F145" s="1" t="s">
        <v>18</v>
      </c>
      <c r="G145" s="1" t="s">
        <v>19</v>
      </c>
      <c r="H145" s="2">
        <v>44986</v>
      </c>
      <c r="I145" s="1" t="s">
        <v>706</v>
      </c>
      <c r="J145" s="1" t="s">
        <v>707</v>
      </c>
      <c r="K145" s="1" t="s">
        <v>560</v>
      </c>
      <c r="L145" s="1">
        <v>31573.59</v>
      </c>
      <c r="M145" s="1">
        <v>3</v>
      </c>
      <c r="N145" s="1">
        <v>0</v>
      </c>
      <c r="O145" s="1">
        <v>94720.77</v>
      </c>
      <c r="P145" s="1">
        <v>16227.59</v>
      </c>
    </row>
    <row r="146" spans="1:16" x14ac:dyDescent="0.3">
      <c r="A146" s="1" t="s">
        <v>1178</v>
      </c>
      <c r="B146" s="2">
        <v>45776</v>
      </c>
      <c r="C146" s="2" t="str">
        <f>TEXT(E_Commerce_data[[#This Row],[order_date]],"MMM")</f>
        <v>Apr</v>
      </c>
      <c r="D146" s="1" t="s">
        <v>129</v>
      </c>
      <c r="E146" s="1" t="s">
        <v>130</v>
      </c>
      <c r="F146" s="1" t="s">
        <v>72</v>
      </c>
      <c r="G146" s="1" t="s">
        <v>48</v>
      </c>
      <c r="H146" s="2">
        <v>45021</v>
      </c>
      <c r="I146" s="1" t="s">
        <v>1162</v>
      </c>
      <c r="J146" s="1" t="s">
        <v>1163</v>
      </c>
      <c r="K146" s="1" t="s">
        <v>902</v>
      </c>
      <c r="L146" s="1">
        <v>10751.13</v>
      </c>
      <c r="M146" s="1">
        <v>3</v>
      </c>
      <c r="N146" s="1">
        <v>0.15</v>
      </c>
      <c r="O146" s="1">
        <v>27415.38</v>
      </c>
      <c r="P146" s="1">
        <v>6153.84</v>
      </c>
    </row>
    <row r="147" spans="1:16" x14ac:dyDescent="0.3">
      <c r="A147" s="1" t="s">
        <v>503</v>
      </c>
      <c r="B147" s="2">
        <v>45855</v>
      </c>
      <c r="C147" s="2" t="str">
        <f>TEXT(E_Commerce_data[[#This Row],[order_date]],"MMM")</f>
        <v>Jul</v>
      </c>
      <c r="D147" s="1" t="s">
        <v>171</v>
      </c>
      <c r="E147" s="1" t="s">
        <v>172</v>
      </c>
      <c r="F147" s="1" t="s">
        <v>47</v>
      </c>
      <c r="G147" s="1" t="s">
        <v>48</v>
      </c>
      <c r="H147" s="2">
        <v>45093</v>
      </c>
      <c r="I147" s="1" t="s">
        <v>489</v>
      </c>
      <c r="J147" s="1" t="s">
        <v>490</v>
      </c>
      <c r="K147" s="1" t="s">
        <v>22</v>
      </c>
      <c r="L147" s="1">
        <v>11544.23</v>
      </c>
      <c r="M147" s="1">
        <v>5</v>
      </c>
      <c r="N147" s="1">
        <v>0.1</v>
      </c>
      <c r="O147" s="1">
        <v>51949.04</v>
      </c>
      <c r="P147" s="1">
        <v>7954.81</v>
      </c>
    </row>
    <row r="148" spans="1:16" x14ac:dyDescent="0.3">
      <c r="A148" s="1" t="s">
        <v>772</v>
      </c>
      <c r="B148" s="2">
        <v>45569</v>
      </c>
      <c r="C148" s="2" t="str">
        <f>TEXT(E_Commerce_data[[#This Row],[order_date]],"MMM")</f>
        <v>Oct</v>
      </c>
      <c r="D148" s="1" t="s">
        <v>106</v>
      </c>
      <c r="E148" s="1" t="s">
        <v>107</v>
      </c>
      <c r="F148" s="1" t="s">
        <v>47</v>
      </c>
      <c r="G148" s="1" t="s">
        <v>48</v>
      </c>
      <c r="H148" s="2">
        <v>45375</v>
      </c>
      <c r="I148" s="1" t="s">
        <v>763</v>
      </c>
      <c r="J148" s="1" t="s">
        <v>764</v>
      </c>
      <c r="K148" s="1" t="s">
        <v>560</v>
      </c>
      <c r="L148" s="1">
        <v>11485.64</v>
      </c>
      <c r="M148" s="1">
        <v>3</v>
      </c>
      <c r="N148" s="1">
        <v>0</v>
      </c>
      <c r="O148" s="1">
        <v>34456.92</v>
      </c>
      <c r="P148" s="1">
        <v>8988.31</v>
      </c>
    </row>
    <row r="149" spans="1:16" x14ac:dyDescent="0.3">
      <c r="A149" s="1" t="s">
        <v>1044</v>
      </c>
      <c r="B149" s="2">
        <v>45489</v>
      </c>
      <c r="C149" s="2" t="str">
        <f>TEXT(E_Commerce_data[[#This Row],[order_date]],"MMM")</f>
        <v>Jul</v>
      </c>
      <c r="D149" s="1" t="s">
        <v>371</v>
      </c>
      <c r="E149" s="1" t="s">
        <v>372</v>
      </c>
      <c r="F149" s="1" t="s">
        <v>31</v>
      </c>
      <c r="G149" s="1" t="s">
        <v>32</v>
      </c>
      <c r="H149" s="2">
        <v>45007</v>
      </c>
      <c r="I149" s="1" t="s">
        <v>1034</v>
      </c>
      <c r="J149" s="1" t="s">
        <v>1035</v>
      </c>
      <c r="K149" s="1" t="s">
        <v>902</v>
      </c>
      <c r="L149" s="1">
        <v>11938.33</v>
      </c>
      <c r="M149" s="1">
        <v>3</v>
      </c>
      <c r="N149" s="1">
        <v>0</v>
      </c>
      <c r="O149" s="1">
        <v>35814.99</v>
      </c>
      <c r="P149" s="1">
        <v>4267.76</v>
      </c>
    </row>
    <row r="150" spans="1:16" x14ac:dyDescent="0.3">
      <c r="A150" s="1" t="s">
        <v>773</v>
      </c>
      <c r="B150" s="2">
        <v>45998</v>
      </c>
      <c r="C150" s="2" t="str">
        <f>TEXT(E_Commerce_data[[#This Row],[order_date]],"MMM")</f>
        <v>Dec</v>
      </c>
      <c r="D150" s="1" t="s">
        <v>53</v>
      </c>
      <c r="E150" s="1" t="s">
        <v>54</v>
      </c>
      <c r="F150" s="1" t="s">
        <v>55</v>
      </c>
      <c r="G150" s="1" t="s">
        <v>27</v>
      </c>
      <c r="H150" s="2">
        <v>45623</v>
      </c>
      <c r="I150" s="1" t="s">
        <v>763</v>
      </c>
      <c r="J150" s="1" t="s">
        <v>764</v>
      </c>
      <c r="K150" s="1" t="s">
        <v>560</v>
      </c>
      <c r="L150" s="1">
        <v>11485.64</v>
      </c>
      <c r="M150" s="1">
        <v>3</v>
      </c>
      <c r="N150" s="1">
        <v>0</v>
      </c>
      <c r="O150" s="1">
        <v>34456.92</v>
      </c>
      <c r="P150" s="1">
        <v>9402.06</v>
      </c>
    </row>
    <row r="151" spans="1:16" x14ac:dyDescent="0.3">
      <c r="A151" s="1" t="s">
        <v>908</v>
      </c>
      <c r="B151" s="2">
        <v>45787</v>
      </c>
      <c r="C151" s="2" t="str">
        <f>TEXT(E_Commerce_data[[#This Row],[order_date]],"MMM")</f>
        <v>May</v>
      </c>
      <c r="D151" s="1" t="s">
        <v>109</v>
      </c>
      <c r="E151" s="1" t="s">
        <v>110</v>
      </c>
      <c r="F151" s="1" t="s">
        <v>31</v>
      </c>
      <c r="G151" s="1" t="s">
        <v>32</v>
      </c>
      <c r="H151" s="2">
        <v>45026</v>
      </c>
      <c r="I151" s="1" t="s">
        <v>900</v>
      </c>
      <c r="J151" s="1" t="s">
        <v>901</v>
      </c>
      <c r="K151" s="1" t="s">
        <v>902</v>
      </c>
      <c r="L151" s="1">
        <v>42988.79</v>
      </c>
      <c r="M151" s="1">
        <v>2</v>
      </c>
      <c r="N151" s="1">
        <v>0</v>
      </c>
      <c r="O151" s="1">
        <v>85977.58</v>
      </c>
      <c r="P151" s="1">
        <v>9880.15</v>
      </c>
    </row>
    <row r="152" spans="1:16" x14ac:dyDescent="0.3">
      <c r="A152" s="1" t="s">
        <v>1045</v>
      </c>
      <c r="B152" s="2">
        <v>45829</v>
      </c>
      <c r="C152" s="2" t="str">
        <f>TEXT(E_Commerce_data[[#This Row],[order_date]],"MMM")</f>
        <v>Jun</v>
      </c>
      <c r="D152" s="1" t="s">
        <v>209</v>
      </c>
      <c r="E152" s="1" t="s">
        <v>210</v>
      </c>
      <c r="F152" s="1" t="s">
        <v>18</v>
      </c>
      <c r="G152" s="1" t="s">
        <v>19</v>
      </c>
      <c r="H152" s="2">
        <v>45507</v>
      </c>
      <c r="I152" s="1" t="s">
        <v>1034</v>
      </c>
      <c r="J152" s="1" t="s">
        <v>1035</v>
      </c>
      <c r="K152" s="1" t="s">
        <v>902</v>
      </c>
      <c r="L152" s="1">
        <v>11938.33</v>
      </c>
      <c r="M152" s="1">
        <v>3</v>
      </c>
      <c r="N152" s="1">
        <v>0.15</v>
      </c>
      <c r="O152" s="1">
        <v>30442.74</v>
      </c>
      <c r="P152" s="1">
        <v>6906.73</v>
      </c>
    </row>
    <row r="153" spans="1:16" x14ac:dyDescent="0.3">
      <c r="A153" s="1" t="s">
        <v>241</v>
      </c>
      <c r="B153" s="2">
        <v>45490</v>
      </c>
      <c r="C153" s="2" t="str">
        <f>TEXT(E_Commerce_data[[#This Row],[order_date]],"MMM")</f>
        <v>Jul</v>
      </c>
      <c r="D153" s="1" t="s">
        <v>29</v>
      </c>
      <c r="E153" s="1" t="s">
        <v>30</v>
      </c>
      <c r="F153" s="1" t="s">
        <v>31</v>
      </c>
      <c r="G153" s="1" t="s">
        <v>32</v>
      </c>
      <c r="H153" s="2">
        <v>45537</v>
      </c>
      <c r="I153" s="1" t="s">
        <v>215</v>
      </c>
      <c r="J153" s="1" t="s">
        <v>216</v>
      </c>
      <c r="K153" s="1" t="s">
        <v>22</v>
      </c>
      <c r="L153" s="1">
        <v>11273.63</v>
      </c>
      <c r="M153" s="1">
        <v>5</v>
      </c>
      <c r="N153" s="1">
        <v>0</v>
      </c>
      <c r="O153" s="1">
        <v>56368.15</v>
      </c>
      <c r="P153" s="1">
        <v>19399.28</v>
      </c>
    </row>
    <row r="154" spans="1:16" x14ac:dyDescent="0.3">
      <c r="A154" s="1" t="s">
        <v>49</v>
      </c>
      <c r="B154" s="2">
        <v>45601</v>
      </c>
      <c r="C154" s="2" t="str">
        <f>TEXT(E_Commerce_data[[#This Row],[order_date]],"MMM")</f>
        <v>Nov</v>
      </c>
      <c r="D154" s="1" t="s">
        <v>50</v>
      </c>
      <c r="E154" s="1" t="s">
        <v>51</v>
      </c>
      <c r="F154" s="1" t="s">
        <v>47</v>
      </c>
      <c r="G154" s="1" t="s">
        <v>48</v>
      </c>
      <c r="H154" s="2">
        <v>45041</v>
      </c>
      <c r="I154" s="1" t="s">
        <v>20</v>
      </c>
      <c r="J154" s="1" t="s">
        <v>21</v>
      </c>
      <c r="K154" s="1" t="s">
        <v>22</v>
      </c>
      <c r="L154" s="1">
        <v>6094.16</v>
      </c>
      <c r="M154" s="1">
        <v>3</v>
      </c>
      <c r="N154" s="1">
        <v>0</v>
      </c>
      <c r="O154" s="1">
        <v>18282.48</v>
      </c>
      <c r="P154" s="1">
        <v>2893.46</v>
      </c>
    </row>
    <row r="155" spans="1:16" x14ac:dyDescent="0.3">
      <c r="A155" s="1" t="s">
        <v>1111</v>
      </c>
      <c r="B155" s="2">
        <v>45572</v>
      </c>
      <c r="C155" s="2" t="str">
        <f>TEXT(E_Commerce_data[[#This Row],[order_date]],"MMM")</f>
        <v>Oct</v>
      </c>
      <c r="D155" s="1" t="s">
        <v>66</v>
      </c>
      <c r="E155" s="1" t="s">
        <v>67</v>
      </c>
      <c r="F155" s="1" t="s">
        <v>18</v>
      </c>
      <c r="G155" s="1" t="s">
        <v>19</v>
      </c>
      <c r="H155" s="2">
        <v>45657</v>
      </c>
      <c r="I155" s="1" t="s">
        <v>1102</v>
      </c>
      <c r="J155" s="1" t="s">
        <v>1103</v>
      </c>
      <c r="K155" s="1" t="s">
        <v>902</v>
      </c>
      <c r="L155" s="1">
        <v>33465.440000000002</v>
      </c>
      <c r="M155" s="1">
        <v>1</v>
      </c>
      <c r="N155" s="1">
        <v>0.15</v>
      </c>
      <c r="O155" s="1">
        <v>28445.62</v>
      </c>
      <c r="P155" s="1">
        <v>5980.42</v>
      </c>
    </row>
    <row r="156" spans="1:16" x14ac:dyDescent="0.3">
      <c r="A156" s="1" t="s">
        <v>568</v>
      </c>
      <c r="B156" s="2">
        <v>46006</v>
      </c>
      <c r="C156" s="2" t="str">
        <f>TEXT(E_Commerce_data[[#This Row],[order_date]],"MMM")</f>
        <v>Dec</v>
      </c>
      <c r="D156" s="1" t="s">
        <v>171</v>
      </c>
      <c r="E156" s="1" t="s">
        <v>172</v>
      </c>
      <c r="F156" s="1" t="s">
        <v>47</v>
      </c>
      <c r="G156" s="1" t="s">
        <v>48</v>
      </c>
      <c r="H156" s="2">
        <v>45093</v>
      </c>
      <c r="I156" s="1" t="s">
        <v>558</v>
      </c>
      <c r="J156" s="1" t="s">
        <v>559</v>
      </c>
      <c r="K156" s="1" t="s">
        <v>560</v>
      </c>
      <c r="L156" s="1">
        <v>11049.86</v>
      </c>
      <c r="M156" s="1">
        <v>1</v>
      </c>
      <c r="N156" s="1">
        <v>0</v>
      </c>
      <c r="O156" s="1">
        <v>11049.86</v>
      </c>
      <c r="P156" s="1">
        <v>2386.85</v>
      </c>
    </row>
    <row r="157" spans="1:16" x14ac:dyDescent="0.3">
      <c r="A157" s="1" t="s">
        <v>52</v>
      </c>
      <c r="B157" s="2">
        <v>45794</v>
      </c>
      <c r="C157" s="2" t="str">
        <f>TEXT(E_Commerce_data[[#This Row],[order_date]],"MMM")</f>
        <v>May</v>
      </c>
      <c r="D157" s="1" t="s">
        <v>53</v>
      </c>
      <c r="E157" s="1" t="s">
        <v>54</v>
      </c>
      <c r="F157" s="1" t="s">
        <v>55</v>
      </c>
      <c r="G157" s="1" t="s">
        <v>27</v>
      </c>
      <c r="H157" s="2">
        <v>45623</v>
      </c>
      <c r="I157" s="1" t="s">
        <v>20</v>
      </c>
      <c r="J157" s="1" t="s">
        <v>21</v>
      </c>
      <c r="K157" s="1" t="s">
        <v>22</v>
      </c>
      <c r="L157" s="1">
        <v>6094.16</v>
      </c>
      <c r="M157" s="1">
        <v>2</v>
      </c>
      <c r="N157" s="1">
        <v>0.15</v>
      </c>
      <c r="O157" s="1">
        <v>10360.07</v>
      </c>
      <c r="P157" s="1">
        <v>3217.2</v>
      </c>
    </row>
    <row r="158" spans="1:16" x14ac:dyDescent="0.3">
      <c r="A158" s="1" t="s">
        <v>569</v>
      </c>
      <c r="B158" s="2">
        <v>45583</v>
      </c>
      <c r="C158" s="2" t="str">
        <f>TEXT(E_Commerce_data[[#This Row],[order_date]],"MMM")</f>
        <v>Oct</v>
      </c>
      <c r="D158" s="1" t="s">
        <v>38</v>
      </c>
      <c r="E158" s="1" t="s">
        <v>39</v>
      </c>
      <c r="F158" s="1" t="s">
        <v>18</v>
      </c>
      <c r="G158" s="1" t="s">
        <v>19</v>
      </c>
      <c r="H158" s="2">
        <v>45069</v>
      </c>
      <c r="I158" s="1" t="s">
        <v>558</v>
      </c>
      <c r="J158" s="1" t="s">
        <v>559</v>
      </c>
      <c r="K158" s="1" t="s">
        <v>560</v>
      </c>
      <c r="L158" s="1">
        <v>11049.86</v>
      </c>
      <c r="M158" s="1">
        <v>1</v>
      </c>
      <c r="N158" s="1">
        <v>0.2</v>
      </c>
      <c r="O158" s="1">
        <v>8839.89</v>
      </c>
      <c r="P158" s="1">
        <v>474.52</v>
      </c>
    </row>
    <row r="159" spans="1:16" x14ac:dyDescent="0.3">
      <c r="A159" s="1" t="s">
        <v>328</v>
      </c>
      <c r="B159" s="2">
        <v>45480</v>
      </c>
      <c r="C159" s="2" t="str">
        <f>TEXT(E_Commerce_data[[#This Row],[order_date]],"MMM")</f>
        <v>Jul</v>
      </c>
      <c r="D159" s="1" t="s">
        <v>329</v>
      </c>
      <c r="E159" s="1" t="s">
        <v>330</v>
      </c>
      <c r="F159" s="1" t="s">
        <v>31</v>
      </c>
      <c r="G159" s="1" t="s">
        <v>32</v>
      </c>
      <c r="H159" s="2">
        <v>45275</v>
      </c>
      <c r="I159" s="1" t="s">
        <v>315</v>
      </c>
      <c r="J159" s="1" t="s">
        <v>316</v>
      </c>
      <c r="K159" s="1" t="s">
        <v>22</v>
      </c>
      <c r="L159" s="1">
        <v>16937.37</v>
      </c>
      <c r="M159" s="1">
        <v>4</v>
      </c>
      <c r="N159" s="1">
        <v>0.05</v>
      </c>
      <c r="O159" s="1">
        <v>64362.01</v>
      </c>
      <c r="P159" s="1">
        <v>11722.94</v>
      </c>
    </row>
    <row r="160" spans="1:16" x14ac:dyDescent="0.3">
      <c r="A160" s="1" t="s">
        <v>642</v>
      </c>
      <c r="B160" s="2">
        <v>45781</v>
      </c>
      <c r="C160" s="2" t="str">
        <f>TEXT(E_Commerce_data[[#This Row],[order_date]],"MMM")</f>
        <v>May</v>
      </c>
      <c r="D160" s="1" t="s">
        <v>643</v>
      </c>
      <c r="E160" s="1" t="s">
        <v>644</v>
      </c>
      <c r="F160" s="1" t="s">
        <v>93</v>
      </c>
      <c r="G160" s="1" t="s">
        <v>27</v>
      </c>
      <c r="H160" s="2">
        <v>45130</v>
      </c>
      <c r="I160" s="1" t="s">
        <v>633</v>
      </c>
      <c r="J160" s="1" t="s">
        <v>634</v>
      </c>
      <c r="K160" s="1" t="s">
        <v>560</v>
      </c>
      <c r="L160" s="1">
        <v>3596.1</v>
      </c>
      <c r="M160" s="1">
        <v>1</v>
      </c>
      <c r="N160" s="1">
        <v>0</v>
      </c>
      <c r="O160" s="1">
        <v>3596.1</v>
      </c>
      <c r="P160" s="1">
        <v>1195.05</v>
      </c>
    </row>
    <row r="161" spans="1:16" x14ac:dyDescent="0.3">
      <c r="A161" s="1" t="s">
        <v>430</v>
      </c>
      <c r="B161" s="2">
        <v>45795</v>
      </c>
      <c r="C161" s="2" t="str">
        <f>TEXT(E_Commerce_data[[#This Row],[order_date]],"MMM")</f>
        <v>May</v>
      </c>
      <c r="D161" s="1" t="s">
        <v>392</v>
      </c>
      <c r="E161" s="1" t="s">
        <v>393</v>
      </c>
      <c r="F161" s="1" t="s">
        <v>76</v>
      </c>
      <c r="G161" s="1" t="s">
        <v>32</v>
      </c>
      <c r="H161" s="2">
        <v>45197</v>
      </c>
      <c r="I161" s="1" t="s">
        <v>420</v>
      </c>
      <c r="J161" s="1" t="s">
        <v>421</v>
      </c>
      <c r="K161" s="1" t="s">
        <v>22</v>
      </c>
      <c r="L161" s="1">
        <v>29436.02</v>
      </c>
      <c r="M161" s="1">
        <v>1</v>
      </c>
      <c r="N161" s="1">
        <v>0.2</v>
      </c>
      <c r="O161" s="1">
        <v>23548.82</v>
      </c>
      <c r="P161" s="1">
        <v>1639.07</v>
      </c>
    </row>
    <row r="162" spans="1:16" x14ac:dyDescent="0.3">
      <c r="A162" s="1" t="s">
        <v>909</v>
      </c>
      <c r="B162" s="2">
        <v>45346</v>
      </c>
      <c r="C162" s="2" t="str">
        <f>TEXT(E_Commerce_data[[#This Row],[order_date]],"MMM")</f>
        <v>Feb</v>
      </c>
      <c r="D162" s="1" t="s">
        <v>199</v>
      </c>
      <c r="E162" s="1" t="s">
        <v>200</v>
      </c>
      <c r="F162" s="1" t="s">
        <v>36</v>
      </c>
      <c r="G162" s="1" t="s">
        <v>32</v>
      </c>
      <c r="H162" s="2">
        <v>45196</v>
      </c>
      <c r="I162" s="1" t="s">
        <v>900</v>
      </c>
      <c r="J162" s="1" t="s">
        <v>901</v>
      </c>
      <c r="K162" s="1" t="s">
        <v>902</v>
      </c>
      <c r="L162" s="1">
        <v>42988.79</v>
      </c>
      <c r="M162" s="1">
        <v>1</v>
      </c>
      <c r="N162" s="1">
        <v>0.1</v>
      </c>
      <c r="O162" s="1">
        <v>38689.910000000003</v>
      </c>
      <c r="P162" s="1">
        <v>9240.4500000000007</v>
      </c>
    </row>
    <row r="163" spans="1:16" x14ac:dyDescent="0.3">
      <c r="A163" s="1" t="s">
        <v>504</v>
      </c>
      <c r="B163" s="2">
        <v>45603</v>
      </c>
      <c r="C163" s="2" t="str">
        <f>TEXT(E_Commerce_data[[#This Row],[order_date]],"MMM")</f>
        <v>Nov</v>
      </c>
      <c r="D163" s="1" t="s">
        <v>45</v>
      </c>
      <c r="E163" s="1" t="s">
        <v>46</v>
      </c>
      <c r="F163" s="1" t="s">
        <v>47</v>
      </c>
      <c r="G163" s="1" t="s">
        <v>48</v>
      </c>
      <c r="H163" s="2">
        <v>45290</v>
      </c>
      <c r="I163" s="1" t="s">
        <v>489</v>
      </c>
      <c r="J163" s="1" t="s">
        <v>490</v>
      </c>
      <c r="K163" s="1" t="s">
        <v>22</v>
      </c>
      <c r="L163" s="1">
        <v>11544.23</v>
      </c>
      <c r="M163" s="1">
        <v>2</v>
      </c>
      <c r="N163" s="1">
        <v>0</v>
      </c>
      <c r="O163" s="1">
        <v>23088.46</v>
      </c>
      <c r="P163" s="1">
        <v>6772.83</v>
      </c>
    </row>
    <row r="164" spans="1:16" x14ac:dyDescent="0.3">
      <c r="A164" s="1" t="s">
        <v>645</v>
      </c>
      <c r="B164" s="2">
        <v>45718</v>
      </c>
      <c r="C164" s="2" t="str">
        <f>TEXT(E_Commerce_data[[#This Row],[order_date]],"MMM")</f>
        <v>Mar</v>
      </c>
      <c r="D164" s="1" t="s">
        <v>252</v>
      </c>
      <c r="E164" s="1" t="s">
        <v>253</v>
      </c>
      <c r="F164" s="1" t="s">
        <v>72</v>
      </c>
      <c r="G164" s="1" t="s">
        <v>48</v>
      </c>
      <c r="H164" s="2">
        <v>44973</v>
      </c>
      <c r="I164" s="1" t="s">
        <v>633</v>
      </c>
      <c r="J164" s="1" t="s">
        <v>634</v>
      </c>
      <c r="K164" s="1" t="s">
        <v>560</v>
      </c>
      <c r="L164" s="1">
        <v>3596.1</v>
      </c>
      <c r="M164" s="1">
        <v>1</v>
      </c>
      <c r="N164" s="1">
        <v>0</v>
      </c>
      <c r="O164" s="1">
        <v>3596.1</v>
      </c>
      <c r="P164" s="1">
        <v>307.58999999999997</v>
      </c>
    </row>
    <row r="165" spans="1:16" x14ac:dyDescent="0.3">
      <c r="A165" s="1" t="s">
        <v>717</v>
      </c>
      <c r="B165" s="2">
        <v>45523</v>
      </c>
      <c r="C165" s="2" t="str">
        <f>TEXT(E_Commerce_data[[#This Row],[order_date]],"MMM")</f>
        <v>Aug</v>
      </c>
      <c r="D165" s="1" t="s">
        <v>199</v>
      </c>
      <c r="E165" s="1" t="s">
        <v>200</v>
      </c>
      <c r="F165" s="1" t="s">
        <v>36</v>
      </c>
      <c r="G165" s="1" t="s">
        <v>32</v>
      </c>
      <c r="H165" s="2">
        <v>45196</v>
      </c>
      <c r="I165" s="1" t="s">
        <v>706</v>
      </c>
      <c r="J165" s="1" t="s">
        <v>707</v>
      </c>
      <c r="K165" s="1" t="s">
        <v>560</v>
      </c>
      <c r="L165" s="1">
        <v>31573.59</v>
      </c>
      <c r="M165" s="1">
        <v>5</v>
      </c>
      <c r="N165" s="1">
        <v>0.1</v>
      </c>
      <c r="O165" s="1">
        <v>142081.16</v>
      </c>
      <c r="P165" s="1">
        <v>40808.870000000003</v>
      </c>
    </row>
    <row r="166" spans="1:16" x14ac:dyDescent="0.3">
      <c r="A166" s="1" t="s">
        <v>975</v>
      </c>
      <c r="B166" s="2">
        <v>45745</v>
      </c>
      <c r="C166" s="2" t="str">
        <f>TEXT(E_Commerce_data[[#This Row],[order_date]],"MMM")</f>
        <v>Mar</v>
      </c>
      <c r="D166" s="1" t="s">
        <v>519</v>
      </c>
      <c r="E166" s="1" t="s">
        <v>520</v>
      </c>
      <c r="F166" s="1" t="s">
        <v>55</v>
      </c>
      <c r="G166" s="1" t="s">
        <v>27</v>
      </c>
      <c r="H166" s="2">
        <v>45198</v>
      </c>
      <c r="I166" s="1" t="s">
        <v>964</v>
      </c>
      <c r="J166" s="1" t="s">
        <v>965</v>
      </c>
      <c r="K166" s="1" t="s">
        <v>902</v>
      </c>
      <c r="L166" s="1">
        <v>3589.32</v>
      </c>
      <c r="M166" s="1">
        <v>5</v>
      </c>
      <c r="N166" s="1">
        <v>0.05</v>
      </c>
      <c r="O166" s="1">
        <v>17049.27</v>
      </c>
      <c r="P166" s="1">
        <v>3156.75</v>
      </c>
    </row>
    <row r="167" spans="1:16" x14ac:dyDescent="0.3">
      <c r="A167" s="1" t="s">
        <v>1179</v>
      </c>
      <c r="B167" s="2">
        <v>45731</v>
      </c>
      <c r="C167" s="2" t="str">
        <f>TEXT(E_Commerce_data[[#This Row],[order_date]],"MMM")</f>
        <v>Mar</v>
      </c>
      <c r="D167" s="1" t="s">
        <v>371</v>
      </c>
      <c r="E167" s="1" t="s">
        <v>372</v>
      </c>
      <c r="F167" s="1" t="s">
        <v>31</v>
      </c>
      <c r="G167" s="1" t="s">
        <v>32</v>
      </c>
      <c r="H167" s="2">
        <v>45007</v>
      </c>
      <c r="I167" s="1" t="s">
        <v>1162</v>
      </c>
      <c r="J167" s="1" t="s">
        <v>1163</v>
      </c>
      <c r="K167" s="1" t="s">
        <v>902</v>
      </c>
      <c r="L167" s="1">
        <v>10751.13</v>
      </c>
      <c r="M167" s="1">
        <v>3</v>
      </c>
      <c r="N167" s="1">
        <v>0.2</v>
      </c>
      <c r="O167" s="1">
        <v>25802.71</v>
      </c>
      <c r="P167" s="1">
        <v>5845.8</v>
      </c>
    </row>
    <row r="168" spans="1:16" x14ac:dyDescent="0.3">
      <c r="A168" s="1" t="s">
        <v>910</v>
      </c>
      <c r="B168" s="2">
        <v>45916</v>
      </c>
      <c r="C168" s="2" t="str">
        <f>TEXT(E_Commerce_data[[#This Row],[order_date]],"MMM")</f>
        <v>Sep</v>
      </c>
      <c r="D168" s="1" t="s">
        <v>41</v>
      </c>
      <c r="E168" s="1" t="s">
        <v>42</v>
      </c>
      <c r="F168" s="1" t="s">
        <v>43</v>
      </c>
      <c r="G168" s="1" t="s">
        <v>32</v>
      </c>
      <c r="H168" s="2">
        <v>45020</v>
      </c>
      <c r="I168" s="1" t="s">
        <v>900</v>
      </c>
      <c r="J168" s="1" t="s">
        <v>901</v>
      </c>
      <c r="K168" s="1" t="s">
        <v>902</v>
      </c>
      <c r="L168" s="1">
        <v>42988.79</v>
      </c>
      <c r="M168" s="1">
        <v>3</v>
      </c>
      <c r="N168" s="1">
        <v>0.1</v>
      </c>
      <c r="O168" s="1">
        <v>116069.73</v>
      </c>
      <c r="P168" s="1">
        <v>27428.23</v>
      </c>
    </row>
    <row r="169" spans="1:16" x14ac:dyDescent="0.3">
      <c r="A169" s="1" t="s">
        <v>242</v>
      </c>
      <c r="B169" s="2">
        <v>45508</v>
      </c>
      <c r="C169" s="2" t="str">
        <f>TEXT(E_Commerce_data[[#This Row],[order_date]],"MMM")</f>
        <v>Aug</v>
      </c>
      <c r="D169" s="1" t="s">
        <v>243</v>
      </c>
      <c r="E169" s="1" t="s">
        <v>244</v>
      </c>
      <c r="F169" s="1" t="s">
        <v>18</v>
      </c>
      <c r="G169" s="1" t="s">
        <v>19</v>
      </c>
      <c r="H169" s="2">
        <v>45223</v>
      </c>
      <c r="I169" s="1" t="s">
        <v>215</v>
      </c>
      <c r="J169" s="1" t="s">
        <v>216</v>
      </c>
      <c r="K169" s="1" t="s">
        <v>22</v>
      </c>
      <c r="L169" s="1">
        <v>11273.63</v>
      </c>
      <c r="M169" s="1">
        <v>1</v>
      </c>
      <c r="N169" s="1">
        <v>0.2</v>
      </c>
      <c r="O169" s="1">
        <v>9018.9</v>
      </c>
      <c r="P169" s="1">
        <v>1013.15</v>
      </c>
    </row>
    <row r="170" spans="1:16" x14ac:dyDescent="0.3">
      <c r="A170" s="1" t="s">
        <v>245</v>
      </c>
      <c r="B170" s="2">
        <v>45537</v>
      </c>
      <c r="C170" s="2" t="str">
        <f>TEXT(E_Commerce_data[[#This Row],[order_date]],"MMM")</f>
        <v>Sep</v>
      </c>
      <c r="D170" s="1" t="s">
        <v>147</v>
      </c>
      <c r="E170" s="1" t="s">
        <v>148</v>
      </c>
      <c r="F170" s="1" t="s">
        <v>36</v>
      </c>
      <c r="G170" s="1" t="s">
        <v>32</v>
      </c>
      <c r="H170" s="2">
        <v>45090</v>
      </c>
      <c r="I170" s="1" t="s">
        <v>215</v>
      </c>
      <c r="J170" s="1" t="s">
        <v>216</v>
      </c>
      <c r="K170" s="1" t="s">
        <v>22</v>
      </c>
      <c r="L170" s="1">
        <v>11273.63</v>
      </c>
      <c r="M170" s="1">
        <v>3</v>
      </c>
      <c r="N170" s="1">
        <v>0.15</v>
      </c>
      <c r="O170" s="1">
        <v>28747.759999999998</v>
      </c>
      <c r="P170" s="1">
        <v>2137.58</v>
      </c>
    </row>
    <row r="171" spans="1:16" x14ac:dyDescent="0.3">
      <c r="A171" s="1" t="s">
        <v>774</v>
      </c>
      <c r="B171" s="2">
        <v>45294</v>
      </c>
      <c r="C171" s="2" t="str">
        <f>TEXT(E_Commerce_data[[#This Row],[order_date]],"MMM")</f>
        <v>Jan</v>
      </c>
      <c r="D171" s="1" t="s">
        <v>175</v>
      </c>
      <c r="E171" s="1" t="s">
        <v>176</v>
      </c>
      <c r="F171" s="1" t="s">
        <v>26</v>
      </c>
      <c r="G171" s="1" t="s">
        <v>27</v>
      </c>
      <c r="H171" s="2">
        <v>45581</v>
      </c>
      <c r="I171" s="1" t="s">
        <v>763</v>
      </c>
      <c r="J171" s="1" t="s">
        <v>764</v>
      </c>
      <c r="K171" s="1" t="s">
        <v>560</v>
      </c>
      <c r="L171" s="1">
        <v>11485.64</v>
      </c>
      <c r="M171" s="1">
        <v>2</v>
      </c>
      <c r="N171" s="1">
        <v>0.1</v>
      </c>
      <c r="O171" s="1">
        <v>20674.150000000001</v>
      </c>
      <c r="P171" s="1">
        <v>1499.28</v>
      </c>
    </row>
    <row r="172" spans="1:16" x14ac:dyDescent="0.3">
      <c r="A172" s="1" t="s">
        <v>431</v>
      </c>
      <c r="B172" s="2">
        <v>45773</v>
      </c>
      <c r="C172" s="2" t="str">
        <f>TEXT(E_Commerce_data[[#This Row],[order_date]],"MMM")</f>
        <v>Apr</v>
      </c>
      <c r="D172" s="1" t="s">
        <v>318</v>
      </c>
      <c r="E172" s="1" t="s">
        <v>319</v>
      </c>
      <c r="F172" s="1" t="s">
        <v>93</v>
      </c>
      <c r="G172" s="1" t="s">
        <v>27</v>
      </c>
      <c r="H172" s="2">
        <v>45054</v>
      </c>
      <c r="I172" s="1" t="s">
        <v>420</v>
      </c>
      <c r="J172" s="1" t="s">
        <v>421</v>
      </c>
      <c r="K172" s="1" t="s">
        <v>22</v>
      </c>
      <c r="L172" s="1">
        <v>29436.02</v>
      </c>
      <c r="M172" s="1">
        <v>4</v>
      </c>
      <c r="N172" s="1">
        <v>0.05</v>
      </c>
      <c r="O172" s="1">
        <v>111856.88</v>
      </c>
      <c r="P172" s="1">
        <v>28726.12</v>
      </c>
    </row>
    <row r="173" spans="1:16" x14ac:dyDescent="0.3">
      <c r="A173" s="1" t="s">
        <v>331</v>
      </c>
      <c r="B173" s="2">
        <v>46015</v>
      </c>
      <c r="C173" s="2" t="str">
        <f>TEXT(E_Commerce_data[[#This Row],[order_date]],"MMM")</f>
        <v>Dec</v>
      </c>
      <c r="D173" s="1" t="s">
        <v>189</v>
      </c>
      <c r="E173" s="1" t="s">
        <v>190</v>
      </c>
      <c r="F173" s="1" t="s">
        <v>26</v>
      </c>
      <c r="G173" s="1" t="s">
        <v>27</v>
      </c>
      <c r="H173" s="2">
        <v>45645</v>
      </c>
      <c r="I173" s="1" t="s">
        <v>315</v>
      </c>
      <c r="J173" s="1" t="s">
        <v>316</v>
      </c>
      <c r="K173" s="1" t="s">
        <v>22</v>
      </c>
      <c r="L173" s="1">
        <v>16937.37</v>
      </c>
      <c r="M173" s="1">
        <v>3</v>
      </c>
      <c r="N173" s="1">
        <v>0</v>
      </c>
      <c r="O173" s="1">
        <v>50812.11</v>
      </c>
      <c r="P173" s="1">
        <v>6069.14</v>
      </c>
    </row>
    <row r="174" spans="1:16" x14ac:dyDescent="0.3">
      <c r="A174" s="1" t="s">
        <v>1046</v>
      </c>
      <c r="B174" s="2">
        <v>45364</v>
      </c>
      <c r="C174" s="2" t="str">
        <f>TEXT(E_Commerce_data[[#This Row],[order_date]],"MMM")</f>
        <v>Mar</v>
      </c>
      <c r="D174" s="1" t="s">
        <v>259</v>
      </c>
      <c r="E174" s="1" t="s">
        <v>260</v>
      </c>
      <c r="F174" s="1" t="s">
        <v>18</v>
      </c>
      <c r="G174" s="1" t="s">
        <v>19</v>
      </c>
      <c r="H174" s="2">
        <v>45444</v>
      </c>
      <c r="I174" s="1" t="s">
        <v>1034</v>
      </c>
      <c r="J174" s="1" t="s">
        <v>1035</v>
      </c>
      <c r="K174" s="1" t="s">
        <v>902</v>
      </c>
      <c r="L174" s="1">
        <v>11938.33</v>
      </c>
      <c r="M174" s="1">
        <v>3</v>
      </c>
      <c r="N174" s="1">
        <v>0.15</v>
      </c>
      <c r="O174" s="1">
        <v>30442.74</v>
      </c>
      <c r="P174" s="1">
        <v>9372.77</v>
      </c>
    </row>
    <row r="175" spans="1:16" x14ac:dyDescent="0.3">
      <c r="A175" s="1" t="s">
        <v>56</v>
      </c>
      <c r="B175" s="2">
        <v>45932</v>
      </c>
      <c r="C175" s="2" t="str">
        <f>TEXT(E_Commerce_data[[#This Row],[order_date]],"MMM")</f>
        <v>Oct</v>
      </c>
      <c r="D175" s="1" t="s">
        <v>57</v>
      </c>
      <c r="E175" s="1" t="s">
        <v>58</v>
      </c>
      <c r="F175" s="1" t="s">
        <v>55</v>
      </c>
      <c r="G175" s="1" t="s">
        <v>27</v>
      </c>
      <c r="H175" s="2">
        <v>45391</v>
      </c>
      <c r="I175" s="1" t="s">
        <v>20</v>
      </c>
      <c r="J175" s="1" t="s">
        <v>21</v>
      </c>
      <c r="K175" s="1" t="s">
        <v>22</v>
      </c>
      <c r="L175" s="1">
        <v>6094.16</v>
      </c>
      <c r="M175" s="1">
        <v>2</v>
      </c>
      <c r="N175" s="1">
        <v>0</v>
      </c>
      <c r="O175" s="1">
        <v>12188.32</v>
      </c>
      <c r="P175" s="1">
        <v>3490.11</v>
      </c>
    </row>
    <row r="176" spans="1:16" x14ac:dyDescent="0.3">
      <c r="A176" s="1" t="s">
        <v>1180</v>
      </c>
      <c r="B176" s="2">
        <v>45494</v>
      </c>
      <c r="C176" s="2" t="str">
        <f>TEXT(E_Commerce_data[[#This Row],[order_date]],"MMM")</f>
        <v>Jul</v>
      </c>
      <c r="D176" s="1" t="s">
        <v>60</v>
      </c>
      <c r="E176" s="1" t="s">
        <v>61</v>
      </c>
      <c r="F176" s="1" t="s">
        <v>18</v>
      </c>
      <c r="G176" s="1" t="s">
        <v>19</v>
      </c>
      <c r="H176" s="2">
        <v>45507</v>
      </c>
      <c r="I176" s="1" t="s">
        <v>1162</v>
      </c>
      <c r="J176" s="1" t="s">
        <v>1163</v>
      </c>
      <c r="K176" s="1" t="s">
        <v>902</v>
      </c>
      <c r="L176" s="1">
        <v>10751.13</v>
      </c>
      <c r="M176" s="1">
        <v>5</v>
      </c>
      <c r="N176" s="1">
        <v>0.15</v>
      </c>
      <c r="O176" s="1">
        <v>45692.3</v>
      </c>
      <c r="P176" s="1">
        <v>13304.3</v>
      </c>
    </row>
    <row r="177" spans="1:16" x14ac:dyDescent="0.3">
      <c r="A177" s="1" t="s">
        <v>570</v>
      </c>
      <c r="B177" s="2">
        <v>45955</v>
      </c>
      <c r="C177" s="2" t="str">
        <f>TEXT(E_Commerce_data[[#This Row],[order_date]],"MMM")</f>
        <v>Oct</v>
      </c>
      <c r="D177" s="1" t="s">
        <v>366</v>
      </c>
      <c r="E177" s="1" t="s">
        <v>367</v>
      </c>
      <c r="F177" s="1" t="s">
        <v>47</v>
      </c>
      <c r="G177" s="1" t="s">
        <v>48</v>
      </c>
      <c r="H177" s="2">
        <v>45144</v>
      </c>
      <c r="I177" s="1" t="s">
        <v>558</v>
      </c>
      <c r="J177" s="1" t="s">
        <v>559</v>
      </c>
      <c r="K177" s="1" t="s">
        <v>560</v>
      </c>
      <c r="L177" s="1">
        <v>11049.86</v>
      </c>
      <c r="M177" s="1">
        <v>4</v>
      </c>
      <c r="N177" s="1">
        <v>0</v>
      </c>
      <c r="O177" s="1">
        <v>44199.44</v>
      </c>
      <c r="P177" s="1">
        <v>9430.7800000000007</v>
      </c>
    </row>
    <row r="178" spans="1:16" x14ac:dyDescent="0.3">
      <c r="A178" s="1" t="s">
        <v>841</v>
      </c>
      <c r="B178" s="2">
        <v>45365</v>
      </c>
      <c r="C178" s="2" t="str">
        <f>TEXT(E_Commerce_data[[#This Row],[order_date]],"MMM")</f>
        <v>Mar</v>
      </c>
      <c r="D178" s="1" t="s">
        <v>269</v>
      </c>
      <c r="E178" s="1" t="s">
        <v>270</v>
      </c>
      <c r="F178" s="1" t="s">
        <v>18</v>
      </c>
      <c r="G178" s="1" t="s">
        <v>19</v>
      </c>
      <c r="H178" s="2">
        <v>45271</v>
      </c>
      <c r="I178" s="1" t="s">
        <v>822</v>
      </c>
      <c r="J178" s="1" t="s">
        <v>823</v>
      </c>
      <c r="K178" s="1" t="s">
        <v>560</v>
      </c>
      <c r="L178" s="1">
        <v>45275.73</v>
      </c>
      <c r="M178" s="1">
        <v>2</v>
      </c>
      <c r="N178" s="1">
        <v>0</v>
      </c>
      <c r="O178" s="1">
        <v>90551.46</v>
      </c>
      <c r="P178" s="1">
        <v>26983.37</v>
      </c>
    </row>
    <row r="179" spans="1:16" x14ac:dyDescent="0.3">
      <c r="A179" s="1" t="s">
        <v>1047</v>
      </c>
      <c r="B179" s="2">
        <v>45901</v>
      </c>
      <c r="C179" s="2" t="str">
        <f>TEXT(E_Commerce_data[[#This Row],[order_date]],"MMM")</f>
        <v>Sep</v>
      </c>
      <c r="D179" s="1" t="s">
        <v>255</v>
      </c>
      <c r="E179" s="1" t="s">
        <v>256</v>
      </c>
      <c r="F179" s="1" t="s">
        <v>26</v>
      </c>
      <c r="G179" s="1" t="s">
        <v>27</v>
      </c>
      <c r="H179" s="2">
        <v>45372</v>
      </c>
      <c r="I179" s="1" t="s">
        <v>1034</v>
      </c>
      <c r="J179" s="1" t="s">
        <v>1035</v>
      </c>
      <c r="K179" s="1" t="s">
        <v>902</v>
      </c>
      <c r="L179" s="1">
        <v>11938.33</v>
      </c>
      <c r="M179" s="1">
        <v>1</v>
      </c>
      <c r="N179" s="1">
        <v>0</v>
      </c>
      <c r="O179" s="1">
        <v>11938.33</v>
      </c>
      <c r="P179" s="1">
        <v>3435.71</v>
      </c>
    </row>
    <row r="180" spans="1:16" x14ac:dyDescent="0.3">
      <c r="A180" s="1" t="s">
        <v>1048</v>
      </c>
      <c r="B180" s="2">
        <v>45771</v>
      </c>
      <c r="C180" s="2" t="str">
        <f>TEXT(E_Commerce_data[[#This Row],[order_date]],"MMM")</f>
        <v>Apr</v>
      </c>
      <c r="D180" s="1" t="s">
        <v>318</v>
      </c>
      <c r="E180" s="1" t="s">
        <v>319</v>
      </c>
      <c r="F180" s="1" t="s">
        <v>93</v>
      </c>
      <c r="G180" s="1" t="s">
        <v>27</v>
      </c>
      <c r="H180" s="2">
        <v>45054</v>
      </c>
      <c r="I180" s="1" t="s">
        <v>1034</v>
      </c>
      <c r="J180" s="1" t="s">
        <v>1035</v>
      </c>
      <c r="K180" s="1" t="s">
        <v>902</v>
      </c>
      <c r="L180" s="1">
        <v>11938.33</v>
      </c>
      <c r="M180" s="1">
        <v>5</v>
      </c>
      <c r="N180" s="1">
        <v>0</v>
      </c>
      <c r="O180" s="1">
        <v>59691.65</v>
      </c>
      <c r="P180" s="1">
        <v>10848.72</v>
      </c>
    </row>
    <row r="181" spans="1:16" x14ac:dyDescent="0.3">
      <c r="A181" s="1" t="s">
        <v>1112</v>
      </c>
      <c r="B181" s="2">
        <v>45570</v>
      </c>
      <c r="C181" s="2" t="str">
        <f>TEXT(E_Commerce_data[[#This Row],[order_date]],"MMM")</f>
        <v>Oct</v>
      </c>
      <c r="D181" s="1" t="s">
        <v>424</v>
      </c>
      <c r="E181" s="1" t="s">
        <v>425</v>
      </c>
      <c r="F181" s="1" t="s">
        <v>43</v>
      </c>
      <c r="G181" s="1" t="s">
        <v>32</v>
      </c>
      <c r="H181" s="2">
        <v>45489</v>
      </c>
      <c r="I181" s="1" t="s">
        <v>1102</v>
      </c>
      <c r="J181" s="1" t="s">
        <v>1103</v>
      </c>
      <c r="K181" s="1" t="s">
        <v>902</v>
      </c>
      <c r="L181" s="1">
        <v>33465.440000000002</v>
      </c>
      <c r="M181" s="1">
        <v>3</v>
      </c>
      <c r="N181" s="1">
        <v>0.15</v>
      </c>
      <c r="O181" s="1">
        <v>85336.87</v>
      </c>
      <c r="P181" s="1">
        <v>14571.49</v>
      </c>
    </row>
    <row r="182" spans="1:16" x14ac:dyDescent="0.3">
      <c r="A182" s="1" t="s">
        <v>1113</v>
      </c>
      <c r="B182" s="2">
        <v>45374</v>
      </c>
      <c r="C182" s="2" t="str">
        <f>TEXT(E_Commerce_data[[#This Row],[order_date]],"MMM")</f>
        <v>Mar</v>
      </c>
      <c r="D182" s="1" t="s">
        <v>106</v>
      </c>
      <c r="E182" s="1" t="s">
        <v>107</v>
      </c>
      <c r="F182" s="1" t="s">
        <v>47</v>
      </c>
      <c r="G182" s="1" t="s">
        <v>48</v>
      </c>
      <c r="H182" s="2">
        <v>45375</v>
      </c>
      <c r="I182" s="1" t="s">
        <v>1102</v>
      </c>
      <c r="J182" s="1" t="s">
        <v>1103</v>
      </c>
      <c r="K182" s="1" t="s">
        <v>902</v>
      </c>
      <c r="L182" s="1">
        <v>33465.440000000002</v>
      </c>
      <c r="M182" s="1">
        <v>5</v>
      </c>
      <c r="N182" s="1">
        <v>0.1</v>
      </c>
      <c r="O182" s="1">
        <v>150594.48000000001</v>
      </c>
      <c r="P182" s="1">
        <v>29838.57</v>
      </c>
    </row>
    <row r="183" spans="1:16" x14ac:dyDescent="0.3">
      <c r="A183" s="1" t="s">
        <v>59</v>
      </c>
      <c r="B183" s="2">
        <v>45622</v>
      </c>
      <c r="C183" s="2" t="str">
        <f>TEXT(E_Commerce_data[[#This Row],[order_date]],"MMM")</f>
        <v>Nov</v>
      </c>
      <c r="D183" s="1" t="s">
        <v>60</v>
      </c>
      <c r="E183" s="1" t="s">
        <v>61</v>
      </c>
      <c r="F183" s="1" t="s">
        <v>18</v>
      </c>
      <c r="G183" s="1" t="s">
        <v>19</v>
      </c>
      <c r="H183" s="2">
        <v>45507</v>
      </c>
      <c r="I183" s="1" t="s">
        <v>20</v>
      </c>
      <c r="J183" s="1" t="s">
        <v>21</v>
      </c>
      <c r="K183" s="1" t="s">
        <v>22</v>
      </c>
      <c r="L183" s="1">
        <v>6094.16</v>
      </c>
      <c r="M183" s="1">
        <v>5</v>
      </c>
      <c r="N183" s="1">
        <v>0</v>
      </c>
      <c r="O183" s="1">
        <v>30470.799999999999</v>
      </c>
      <c r="P183" s="1">
        <v>9653.9699999999993</v>
      </c>
    </row>
    <row r="184" spans="1:16" x14ac:dyDescent="0.3">
      <c r="A184" s="1" t="s">
        <v>571</v>
      </c>
      <c r="B184" s="2">
        <v>45526</v>
      </c>
      <c r="C184" s="2" t="str">
        <f>TEXT(E_Commerce_data[[#This Row],[order_date]],"MMM")</f>
        <v>Aug</v>
      </c>
      <c r="D184" s="1" t="s">
        <v>266</v>
      </c>
      <c r="E184" s="1" t="s">
        <v>267</v>
      </c>
      <c r="F184" s="1" t="s">
        <v>72</v>
      </c>
      <c r="G184" s="1" t="s">
        <v>48</v>
      </c>
      <c r="H184" s="2">
        <v>45316</v>
      </c>
      <c r="I184" s="1" t="s">
        <v>558</v>
      </c>
      <c r="J184" s="1" t="s">
        <v>559</v>
      </c>
      <c r="K184" s="1" t="s">
        <v>560</v>
      </c>
      <c r="L184" s="1">
        <v>11049.86</v>
      </c>
      <c r="M184" s="1">
        <v>5</v>
      </c>
      <c r="N184" s="1">
        <v>0</v>
      </c>
      <c r="O184" s="1">
        <v>55249.3</v>
      </c>
      <c r="P184" s="1">
        <v>3191.17</v>
      </c>
    </row>
    <row r="185" spans="1:16" x14ac:dyDescent="0.3">
      <c r="A185" s="1" t="s">
        <v>246</v>
      </c>
      <c r="B185" s="2">
        <v>45980</v>
      </c>
      <c r="C185" s="2" t="str">
        <f>TEXT(E_Commerce_data[[#This Row],[order_date]],"MMM")</f>
        <v>Nov</v>
      </c>
      <c r="D185" s="1" t="s">
        <v>121</v>
      </c>
      <c r="E185" s="1" t="s">
        <v>122</v>
      </c>
      <c r="F185" s="1" t="s">
        <v>26</v>
      </c>
      <c r="G185" s="1" t="s">
        <v>27</v>
      </c>
      <c r="H185" s="2">
        <v>44994</v>
      </c>
      <c r="I185" s="1" t="s">
        <v>215</v>
      </c>
      <c r="J185" s="1" t="s">
        <v>216</v>
      </c>
      <c r="K185" s="1" t="s">
        <v>22</v>
      </c>
      <c r="L185" s="1">
        <v>11273.63</v>
      </c>
      <c r="M185" s="1">
        <v>5</v>
      </c>
      <c r="N185" s="1">
        <v>0.1</v>
      </c>
      <c r="O185" s="1">
        <v>50731.34</v>
      </c>
      <c r="P185" s="1">
        <v>17006.97</v>
      </c>
    </row>
    <row r="186" spans="1:16" x14ac:dyDescent="0.3">
      <c r="A186" s="1" t="s">
        <v>62</v>
      </c>
      <c r="B186" s="2">
        <v>45471</v>
      </c>
      <c r="C186" s="2" t="str">
        <f>TEXT(E_Commerce_data[[#This Row],[order_date]],"MMM")</f>
        <v>Jun</v>
      </c>
      <c r="D186" s="1" t="s">
        <v>63</v>
      </c>
      <c r="E186" s="1" t="s">
        <v>64</v>
      </c>
      <c r="F186" s="1" t="s">
        <v>18</v>
      </c>
      <c r="G186" s="1" t="s">
        <v>19</v>
      </c>
      <c r="H186" s="2">
        <v>45501</v>
      </c>
      <c r="I186" s="1" t="s">
        <v>20</v>
      </c>
      <c r="J186" s="1" t="s">
        <v>21</v>
      </c>
      <c r="K186" s="1" t="s">
        <v>22</v>
      </c>
      <c r="L186" s="1">
        <v>6094.16</v>
      </c>
      <c r="M186" s="1">
        <v>3</v>
      </c>
      <c r="N186" s="1">
        <v>0.1</v>
      </c>
      <c r="O186" s="1">
        <v>16454.23</v>
      </c>
      <c r="P186" s="1">
        <v>1021.31</v>
      </c>
    </row>
    <row r="187" spans="1:16" x14ac:dyDescent="0.3">
      <c r="A187" s="1" t="s">
        <v>247</v>
      </c>
      <c r="B187" s="2">
        <v>45576</v>
      </c>
      <c r="C187" s="2" t="str">
        <f>TEXT(E_Commerce_data[[#This Row],[order_date]],"MMM")</f>
        <v>Oct</v>
      </c>
      <c r="D187" s="1" t="s">
        <v>248</v>
      </c>
      <c r="E187" s="1" t="s">
        <v>249</v>
      </c>
      <c r="F187" s="1" t="s">
        <v>72</v>
      </c>
      <c r="G187" s="1" t="s">
        <v>48</v>
      </c>
      <c r="H187" s="2">
        <v>45619</v>
      </c>
      <c r="I187" s="1" t="s">
        <v>215</v>
      </c>
      <c r="J187" s="1" t="s">
        <v>216</v>
      </c>
      <c r="K187" s="1" t="s">
        <v>22</v>
      </c>
      <c r="L187" s="1">
        <v>11273.63</v>
      </c>
      <c r="M187" s="1">
        <v>4</v>
      </c>
      <c r="N187" s="1">
        <v>0.1</v>
      </c>
      <c r="O187" s="1">
        <v>40585.07</v>
      </c>
      <c r="P187" s="1">
        <v>9961.7199999999993</v>
      </c>
    </row>
    <row r="188" spans="1:16" x14ac:dyDescent="0.3">
      <c r="A188" s="1" t="s">
        <v>250</v>
      </c>
      <c r="B188" s="2">
        <v>45795</v>
      </c>
      <c r="C188" s="2" t="str">
        <f>TEXT(E_Commerce_data[[#This Row],[order_date]],"MMM")</f>
        <v>May</v>
      </c>
      <c r="D188" s="1" t="s">
        <v>139</v>
      </c>
      <c r="E188" s="1" t="s">
        <v>140</v>
      </c>
      <c r="F188" s="1" t="s">
        <v>47</v>
      </c>
      <c r="G188" s="1" t="s">
        <v>48</v>
      </c>
      <c r="H188" s="2">
        <v>44984</v>
      </c>
      <c r="I188" s="1" t="s">
        <v>215</v>
      </c>
      <c r="J188" s="1" t="s">
        <v>216</v>
      </c>
      <c r="K188" s="1" t="s">
        <v>22</v>
      </c>
      <c r="L188" s="1">
        <v>11273.63</v>
      </c>
      <c r="M188" s="1">
        <v>2</v>
      </c>
      <c r="N188" s="1">
        <v>0.1</v>
      </c>
      <c r="O188" s="1">
        <v>20292.53</v>
      </c>
      <c r="P188" s="1">
        <v>3668.19</v>
      </c>
    </row>
    <row r="189" spans="1:16" x14ac:dyDescent="0.3">
      <c r="A189" s="1" t="s">
        <v>505</v>
      </c>
      <c r="B189" s="2">
        <v>45633</v>
      </c>
      <c r="C189" s="2" t="str">
        <f>TEXT(E_Commerce_data[[#This Row],[order_date]],"MMM")</f>
        <v>Dec</v>
      </c>
      <c r="D189" s="1" t="s">
        <v>338</v>
      </c>
      <c r="E189" s="1" t="s">
        <v>339</v>
      </c>
      <c r="F189" s="1" t="s">
        <v>93</v>
      </c>
      <c r="G189" s="1" t="s">
        <v>27</v>
      </c>
      <c r="H189" s="2">
        <v>45016</v>
      </c>
      <c r="I189" s="1" t="s">
        <v>489</v>
      </c>
      <c r="J189" s="1" t="s">
        <v>490</v>
      </c>
      <c r="K189" s="1" t="s">
        <v>22</v>
      </c>
      <c r="L189" s="1">
        <v>11544.23</v>
      </c>
      <c r="M189" s="1">
        <v>1</v>
      </c>
      <c r="N189" s="1">
        <v>0.05</v>
      </c>
      <c r="O189" s="1">
        <v>10967.02</v>
      </c>
      <c r="P189" s="1">
        <v>1693.18</v>
      </c>
    </row>
    <row r="190" spans="1:16" x14ac:dyDescent="0.3">
      <c r="A190" s="1" t="s">
        <v>251</v>
      </c>
      <c r="B190" s="2">
        <v>45456</v>
      </c>
      <c r="C190" s="2" t="str">
        <f>TEXT(E_Commerce_data[[#This Row],[order_date]],"MMM")</f>
        <v>Jun</v>
      </c>
      <c r="D190" s="1" t="s">
        <v>252</v>
      </c>
      <c r="E190" s="1" t="s">
        <v>253</v>
      </c>
      <c r="F190" s="1" t="s">
        <v>72</v>
      </c>
      <c r="G190" s="1" t="s">
        <v>48</v>
      </c>
      <c r="H190" s="2">
        <v>44973</v>
      </c>
      <c r="I190" s="1" t="s">
        <v>215</v>
      </c>
      <c r="J190" s="1" t="s">
        <v>216</v>
      </c>
      <c r="K190" s="1" t="s">
        <v>22</v>
      </c>
      <c r="L190" s="1">
        <v>11273.63</v>
      </c>
      <c r="M190" s="1">
        <v>3</v>
      </c>
      <c r="N190" s="1">
        <v>0.15</v>
      </c>
      <c r="O190" s="1">
        <v>28747.759999999998</v>
      </c>
      <c r="P190" s="1">
        <v>2339.4899999999998</v>
      </c>
    </row>
    <row r="191" spans="1:16" x14ac:dyDescent="0.3">
      <c r="A191" s="1" t="s">
        <v>332</v>
      </c>
      <c r="B191" s="2">
        <v>45587</v>
      </c>
      <c r="C191" s="2" t="str">
        <f>TEXT(E_Commerce_data[[#This Row],[order_date]],"MMM")</f>
        <v>Oct</v>
      </c>
      <c r="D191" s="1" t="s">
        <v>74</v>
      </c>
      <c r="E191" s="1" t="s">
        <v>75</v>
      </c>
      <c r="F191" s="1" t="s">
        <v>76</v>
      </c>
      <c r="G191" s="1" t="s">
        <v>32</v>
      </c>
      <c r="H191" s="2">
        <v>44954</v>
      </c>
      <c r="I191" s="1" t="s">
        <v>315</v>
      </c>
      <c r="J191" s="1" t="s">
        <v>316</v>
      </c>
      <c r="K191" s="1" t="s">
        <v>22</v>
      </c>
      <c r="L191" s="1">
        <v>16937.37</v>
      </c>
      <c r="M191" s="1">
        <v>3</v>
      </c>
      <c r="N191" s="1">
        <v>0.05</v>
      </c>
      <c r="O191" s="1">
        <v>48271.5</v>
      </c>
      <c r="P191" s="1">
        <v>12458.98</v>
      </c>
    </row>
    <row r="192" spans="1:16" x14ac:dyDescent="0.3">
      <c r="A192" s="1" t="s">
        <v>506</v>
      </c>
      <c r="B192" s="2">
        <v>45329</v>
      </c>
      <c r="C192" s="2" t="str">
        <f>TEXT(E_Commerce_data[[#This Row],[order_date]],"MMM")</f>
        <v>Feb</v>
      </c>
      <c r="D192" s="1" t="s">
        <v>125</v>
      </c>
      <c r="E192" s="1" t="s">
        <v>126</v>
      </c>
      <c r="F192" s="1" t="s">
        <v>72</v>
      </c>
      <c r="G192" s="1" t="s">
        <v>48</v>
      </c>
      <c r="H192" s="2">
        <v>44952</v>
      </c>
      <c r="I192" s="1" t="s">
        <v>489</v>
      </c>
      <c r="J192" s="1" t="s">
        <v>490</v>
      </c>
      <c r="K192" s="1" t="s">
        <v>22</v>
      </c>
      <c r="L192" s="1">
        <v>11544.23</v>
      </c>
      <c r="M192" s="1">
        <v>4</v>
      </c>
      <c r="N192" s="1">
        <v>0.2</v>
      </c>
      <c r="O192" s="1">
        <v>36941.54</v>
      </c>
      <c r="P192" s="1">
        <v>10275.290000000001</v>
      </c>
    </row>
    <row r="193" spans="1:16" x14ac:dyDescent="0.3">
      <c r="A193" s="1" t="s">
        <v>1049</v>
      </c>
      <c r="B193" s="2">
        <v>45623</v>
      </c>
      <c r="C193" s="2" t="str">
        <f>TEXT(E_Commerce_data[[#This Row],[order_date]],"MMM")</f>
        <v>Nov</v>
      </c>
      <c r="D193" s="1" t="s">
        <v>41</v>
      </c>
      <c r="E193" s="1" t="s">
        <v>42</v>
      </c>
      <c r="F193" s="1" t="s">
        <v>43</v>
      </c>
      <c r="G193" s="1" t="s">
        <v>32</v>
      </c>
      <c r="H193" s="2">
        <v>45020</v>
      </c>
      <c r="I193" s="1" t="s">
        <v>1034</v>
      </c>
      <c r="J193" s="1" t="s">
        <v>1035</v>
      </c>
      <c r="K193" s="1" t="s">
        <v>902</v>
      </c>
      <c r="L193" s="1">
        <v>11938.33</v>
      </c>
      <c r="M193" s="1">
        <v>4</v>
      </c>
      <c r="N193" s="1">
        <v>0</v>
      </c>
      <c r="O193" s="1">
        <v>47753.32</v>
      </c>
      <c r="P193" s="1">
        <v>6893.44</v>
      </c>
    </row>
    <row r="194" spans="1:16" x14ac:dyDescent="0.3">
      <c r="A194" s="1" t="s">
        <v>911</v>
      </c>
      <c r="B194" s="2">
        <v>45818</v>
      </c>
      <c r="C194" s="2" t="str">
        <f>TEXT(E_Commerce_data[[#This Row],[order_date]],"MMM")</f>
        <v>Jun</v>
      </c>
      <c r="D194" s="1" t="s">
        <v>233</v>
      </c>
      <c r="E194" s="1" t="s">
        <v>234</v>
      </c>
      <c r="F194" s="1" t="s">
        <v>72</v>
      </c>
      <c r="G194" s="1" t="s">
        <v>48</v>
      </c>
      <c r="H194" s="2">
        <v>45321</v>
      </c>
      <c r="I194" s="1" t="s">
        <v>900</v>
      </c>
      <c r="J194" s="1" t="s">
        <v>901</v>
      </c>
      <c r="K194" s="1" t="s">
        <v>902</v>
      </c>
      <c r="L194" s="1">
        <v>42988.79</v>
      </c>
      <c r="M194" s="1">
        <v>1</v>
      </c>
      <c r="N194" s="1">
        <v>0.2</v>
      </c>
      <c r="O194" s="1">
        <v>34391.03</v>
      </c>
      <c r="P194" s="1">
        <v>5889.55</v>
      </c>
    </row>
    <row r="195" spans="1:16" x14ac:dyDescent="0.3">
      <c r="A195" s="1" t="s">
        <v>507</v>
      </c>
      <c r="B195" s="2">
        <v>45765</v>
      </c>
      <c r="C195" s="2" t="str">
        <f>TEXT(E_Commerce_data[[#This Row],[order_date]],"MMM")</f>
        <v>Apr</v>
      </c>
      <c r="D195" s="1" t="s">
        <v>57</v>
      </c>
      <c r="E195" s="1" t="s">
        <v>58</v>
      </c>
      <c r="F195" s="1" t="s">
        <v>55</v>
      </c>
      <c r="G195" s="1" t="s">
        <v>27</v>
      </c>
      <c r="H195" s="2">
        <v>45391</v>
      </c>
      <c r="I195" s="1" t="s">
        <v>489</v>
      </c>
      <c r="J195" s="1" t="s">
        <v>490</v>
      </c>
      <c r="K195" s="1" t="s">
        <v>22</v>
      </c>
      <c r="L195" s="1">
        <v>11544.23</v>
      </c>
      <c r="M195" s="1">
        <v>1</v>
      </c>
      <c r="N195" s="1">
        <v>0.15</v>
      </c>
      <c r="O195" s="1">
        <v>9812.6</v>
      </c>
      <c r="P195" s="1">
        <v>3049.86</v>
      </c>
    </row>
    <row r="196" spans="1:16" x14ac:dyDescent="0.3">
      <c r="A196" s="1" t="s">
        <v>646</v>
      </c>
      <c r="B196" s="2">
        <v>45662</v>
      </c>
      <c r="C196" s="2" t="str">
        <f>TEXT(E_Commerce_data[[#This Row],[order_date]],"MMM")</f>
        <v>Jan</v>
      </c>
      <c r="D196" s="1" t="s">
        <v>34</v>
      </c>
      <c r="E196" s="1" t="s">
        <v>35</v>
      </c>
      <c r="F196" s="1" t="s">
        <v>36</v>
      </c>
      <c r="G196" s="1" t="s">
        <v>32</v>
      </c>
      <c r="H196" s="2">
        <v>45041</v>
      </c>
      <c r="I196" s="1" t="s">
        <v>633</v>
      </c>
      <c r="J196" s="1" t="s">
        <v>634</v>
      </c>
      <c r="K196" s="1" t="s">
        <v>560</v>
      </c>
      <c r="L196" s="1">
        <v>3596.1</v>
      </c>
      <c r="M196" s="1">
        <v>4</v>
      </c>
      <c r="N196" s="1">
        <v>0</v>
      </c>
      <c r="O196" s="1">
        <v>14384.4</v>
      </c>
      <c r="P196" s="1">
        <v>1528.7</v>
      </c>
    </row>
    <row r="197" spans="1:16" x14ac:dyDescent="0.3">
      <c r="A197" s="1" t="s">
        <v>976</v>
      </c>
      <c r="B197" s="2">
        <v>45744</v>
      </c>
      <c r="C197" s="2" t="str">
        <f>TEXT(E_Commerce_data[[#This Row],[order_date]],"MMM")</f>
        <v>Mar</v>
      </c>
      <c r="D197" s="1" t="s">
        <v>183</v>
      </c>
      <c r="E197" s="1" t="s">
        <v>184</v>
      </c>
      <c r="F197" s="1" t="s">
        <v>47</v>
      </c>
      <c r="G197" s="1" t="s">
        <v>48</v>
      </c>
      <c r="H197" s="2">
        <v>45151</v>
      </c>
      <c r="I197" s="1" t="s">
        <v>964</v>
      </c>
      <c r="J197" s="1" t="s">
        <v>965</v>
      </c>
      <c r="K197" s="1" t="s">
        <v>902</v>
      </c>
      <c r="L197" s="1">
        <v>3589.32</v>
      </c>
      <c r="M197" s="1">
        <v>5</v>
      </c>
      <c r="N197" s="1">
        <v>0.2</v>
      </c>
      <c r="O197" s="1">
        <v>14357.28</v>
      </c>
      <c r="P197" s="1">
        <v>2864.97</v>
      </c>
    </row>
    <row r="198" spans="1:16" x14ac:dyDescent="0.3">
      <c r="A198" s="1" t="s">
        <v>977</v>
      </c>
      <c r="B198" s="2">
        <v>45426</v>
      </c>
      <c r="C198" s="2" t="str">
        <f>TEXT(E_Commerce_data[[#This Row],[order_date]],"MMM")</f>
        <v>May</v>
      </c>
      <c r="D198" s="1" t="s">
        <v>354</v>
      </c>
      <c r="E198" s="1" t="s">
        <v>355</v>
      </c>
      <c r="F198" s="1" t="s">
        <v>26</v>
      </c>
      <c r="G198" s="1" t="s">
        <v>27</v>
      </c>
      <c r="H198" s="2">
        <v>45582</v>
      </c>
      <c r="I198" s="1" t="s">
        <v>964</v>
      </c>
      <c r="J198" s="1" t="s">
        <v>965</v>
      </c>
      <c r="K198" s="1" t="s">
        <v>902</v>
      </c>
      <c r="L198" s="1">
        <v>3589.32</v>
      </c>
      <c r="M198" s="1">
        <v>1</v>
      </c>
      <c r="N198" s="1">
        <v>0</v>
      </c>
      <c r="O198" s="1">
        <v>3589.32</v>
      </c>
      <c r="P198" s="1">
        <v>467.03</v>
      </c>
    </row>
    <row r="199" spans="1:16" x14ac:dyDescent="0.3">
      <c r="A199" s="1" t="s">
        <v>718</v>
      </c>
      <c r="B199" s="2">
        <v>45788</v>
      </c>
      <c r="C199" s="2" t="str">
        <f>TEXT(E_Commerce_data[[#This Row],[order_date]],"MMM")</f>
        <v>May</v>
      </c>
      <c r="D199" s="1" t="s">
        <v>112</v>
      </c>
      <c r="E199" s="1" t="s">
        <v>113</v>
      </c>
      <c r="F199" s="1" t="s">
        <v>55</v>
      </c>
      <c r="G199" s="1" t="s">
        <v>27</v>
      </c>
      <c r="H199" s="2">
        <v>45602</v>
      </c>
      <c r="I199" s="1" t="s">
        <v>706</v>
      </c>
      <c r="J199" s="1" t="s">
        <v>707</v>
      </c>
      <c r="K199" s="1" t="s">
        <v>560</v>
      </c>
      <c r="L199" s="1">
        <v>31573.59</v>
      </c>
      <c r="M199" s="1">
        <v>3</v>
      </c>
      <c r="N199" s="1">
        <v>0.05</v>
      </c>
      <c r="O199" s="1">
        <v>89984.73</v>
      </c>
      <c r="P199" s="1">
        <v>28278.06</v>
      </c>
    </row>
    <row r="200" spans="1:16" x14ac:dyDescent="0.3">
      <c r="A200" s="1" t="s">
        <v>1181</v>
      </c>
      <c r="B200" s="2">
        <v>45915</v>
      </c>
      <c r="C200" s="2" t="str">
        <f>TEXT(E_Commerce_data[[#This Row],[order_date]],"MMM")</f>
        <v>Sep</v>
      </c>
      <c r="D200" s="1" t="s">
        <v>153</v>
      </c>
      <c r="E200" s="1" t="s">
        <v>154</v>
      </c>
      <c r="F200" s="1" t="s">
        <v>43</v>
      </c>
      <c r="G200" s="1" t="s">
        <v>32</v>
      </c>
      <c r="H200" s="2">
        <v>45073</v>
      </c>
      <c r="I200" s="1" t="s">
        <v>1162</v>
      </c>
      <c r="J200" s="1" t="s">
        <v>1163</v>
      </c>
      <c r="K200" s="1" t="s">
        <v>902</v>
      </c>
      <c r="L200" s="1">
        <v>10751.13</v>
      </c>
      <c r="M200" s="1">
        <v>1</v>
      </c>
      <c r="N200" s="1">
        <v>0</v>
      </c>
      <c r="O200" s="1">
        <v>10751.13</v>
      </c>
      <c r="P200" s="1">
        <v>3676.28</v>
      </c>
    </row>
    <row r="201" spans="1:16" x14ac:dyDescent="0.3">
      <c r="A201" s="1" t="s">
        <v>1182</v>
      </c>
      <c r="B201" s="2">
        <v>45856</v>
      </c>
      <c r="C201" s="2" t="str">
        <f>TEXT(E_Commerce_data[[#This Row],[order_date]],"MMM")</f>
        <v>Jul</v>
      </c>
      <c r="D201" s="1" t="s">
        <v>63</v>
      </c>
      <c r="E201" s="1" t="s">
        <v>64</v>
      </c>
      <c r="F201" s="1" t="s">
        <v>18</v>
      </c>
      <c r="G201" s="1" t="s">
        <v>19</v>
      </c>
      <c r="H201" s="2">
        <v>45501</v>
      </c>
      <c r="I201" s="1" t="s">
        <v>1162</v>
      </c>
      <c r="J201" s="1" t="s">
        <v>1163</v>
      </c>
      <c r="K201" s="1" t="s">
        <v>902</v>
      </c>
      <c r="L201" s="1">
        <v>10751.13</v>
      </c>
      <c r="M201" s="1">
        <v>2</v>
      </c>
      <c r="N201" s="1">
        <v>0.15</v>
      </c>
      <c r="O201" s="1">
        <v>18276.919999999998</v>
      </c>
      <c r="P201" s="1">
        <v>1782.25</v>
      </c>
    </row>
    <row r="202" spans="1:16" x14ac:dyDescent="0.3">
      <c r="A202" s="1" t="s">
        <v>775</v>
      </c>
      <c r="B202" s="2">
        <v>45522</v>
      </c>
      <c r="C202" s="2" t="str">
        <f>TEXT(E_Commerce_data[[#This Row],[order_date]],"MMM")</f>
        <v>Aug</v>
      </c>
      <c r="D202" s="1" t="s">
        <v>125</v>
      </c>
      <c r="E202" s="1" t="s">
        <v>126</v>
      </c>
      <c r="F202" s="1" t="s">
        <v>72</v>
      </c>
      <c r="G202" s="1" t="s">
        <v>48</v>
      </c>
      <c r="H202" s="2">
        <v>44952</v>
      </c>
      <c r="I202" s="1" t="s">
        <v>763</v>
      </c>
      <c r="J202" s="1" t="s">
        <v>764</v>
      </c>
      <c r="K202" s="1" t="s">
        <v>560</v>
      </c>
      <c r="L202" s="1">
        <v>11485.64</v>
      </c>
      <c r="M202" s="1">
        <v>1</v>
      </c>
      <c r="N202" s="1">
        <v>0.1</v>
      </c>
      <c r="O202" s="1">
        <v>10337.08</v>
      </c>
      <c r="P202" s="1">
        <v>1782.08</v>
      </c>
    </row>
    <row r="203" spans="1:16" x14ac:dyDescent="0.3">
      <c r="A203" s="1" t="s">
        <v>1050</v>
      </c>
      <c r="B203" s="2">
        <v>45955</v>
      </c>
      <c r="C203" s="2" t="str">
        <f>TEXT(E_Commerce_data[[#This Row],[order_date]],"MMM")</f>
        <v>Oct</v>
      </c>
      <c r="D203" s="1" t="s">
        <v>444</v>
      </c>
      <c r="E203" s="1" t="s">
        <v>445</v>
      </c>
      <c r="F203" s="1" t="s">
        <v>76</v>
      </c>
      <c r="G203" s="1" t="s">
        <v>32</v>
      </c>
      <c r="H203" s="2">
        <v>45123</v>
      </c>
      <c r="I203" s="1" t="s">
        <v>1034</v>
      </c>
      <c r="J203" s="1" t="s">
        <v>1035</v>
      </c>
      <c r="K203" s="1" t="s">
        <v>902</v>
      </c>
      <c r="L203" s="1">
        <v>11938.33</v>
      </c>
      <c r="M203" s="1">
        <v>1</v>
      </c>
      <c r="N203" s="1">
        <v>0.05</v>
      </c>
      <c r="O203" s="1">
        <v>11341.41</v>
      </c>
      <c r="P203" s="1">
        <v>3789.37</v>
      </c>
    </row>
    <row r="204" spans="1:16" x14ac:dyDescent="0.3">
      <c r="A204" s="1" t="s">
        <v>719</v>
      </c>
      <c r="B204" s="2">
        <v>45590</v>
      </c>
      <c r="C204" s="2" t="str">
        <f>TEXT(E_Commerce_data[[#This Row],[order_date]],"MMM")</f>
        <v>Oct</v>
      </c>
      <c r="D204" s="1" t="s">
        <v>171</v>
      </c>
      <c r="E204" s="1" t="s">
        <v>172</v>
      </c>
      <c r="F204" s="1" t="s">
        <v>47</v>
      </c>
      <c r="G204" s="1" t="s">
        <v>48</v>
      </c>
      <c r="H204" s="2">
        <v>45093</v>
      </c>
      <c r="I204" s="1" t="s">
        <v>706</v>
      </c>
      <c r="J204" s="1" t="s">
        <v>707</v>
      </c>
      <c r="K204" s="1" t="s">
        <v>560</v>
      </c>
      <c r="L204" s="1">
        <v>31573.59</v>
      </c>
      <c r="M204" s="1">
        <v>2</v>
      </c>
      <c r="N204" s="1">
        <v>0.05</v>
      </c>
      <c r="O204" s="1">
        <v>59989.82</v>
      </c>
      <c r="P204" s="1">
        <v>19784.400000000001</v>
      </c>
    </row>
    <row r="205" spans="1:16" x14ac:dyDescent="0.3">
      <c r="A205" s="1" t="s">
        <v>572</v>
      </c>
      <c r="B205" s="2">
        <v>45786</v>
      </c>
      <c r="C205" s="2" t="str">
        <f>TEXT(E_Commerce_data[[#This Row],[order_date]],"MMM")</f>
        <v>May</v>
      </c>
      <c r="D205" s="1" t="s">
        <v>573</v>
      </c>
      <c r="E205" s="1" t="s">
        <v>574</v>
      </c>
      <c r="F205" s="1" t="s">
        <v>36</v>
      </c>
      <c r="G205" s="1" t="s">
        <v>32</v>
      </c>
      <c r="H205" s="2">
        <v>45540</v>
      </c>
      <c r="I205" s="1" t="s">
        <v>558</v>
      </c>
      <c r="J205" s="1" t="s">
        <v>559</v>
      </c>
      <c r="K205" s="1" t="s">
        <v>560</v>
      </c>
      <c r="L205" s="1">
        <v>11049.86</v>
      </c>
      <c r="M205" s="1">
        <v>5</v>
      </c>
      <c r="N205" s="1">
        <v>0.15</v>
      </c>
      <c r="O205" s="1">
        <v>46961.9</v>
      </c>
      <c r="P205" s="1">
        <v>6200.26</v>
      </c>
    </row>
    <row r="206" spans="1:16" x14ac:dyDescent="0.3">
      <c r="A206" s="1" t="s">
        <v>1183</v>
      </c>
      <c r="B206" s="2">
        <v>45440</v>
      </c>
      <c r="C206" s="2" t="str">
        <f>TEXT(E_Commerce_data[[#This Row],[order_date]],"MMM")</f>
        <v>May</v>
      </c>
      <c r="D206" s="1" t="s">
        <v>384</v>
      </c>
      <c r="E206" s="1" t="s">
        <v>385</v>
      </c>
      <c r="F206" s="1" t="s">
        <v>93</v>
      </c>
      <c r="G206" s="1" t="s">
        <v>27</v>
      </c>
      <c r="H206" s="2">
        <v>45055</v>
      </c>
      <c r="I206" s="1" t="s">
        <v>1162</v>
      </c>
      <c r="J206" s="1" t="s">
        <v>1163</v>
      </c>
      <c r="K206" s="1" t="s">
        <v>902</v>
      </c>
      <c r="L206" s="1">
        <v>10751.13</v>
      </c>
      <c r="M206" s="1">
        <v>4</v>
      </c>
      <c r="N206" s="1">
        <v>0</v>
      </c>
      <c r="O206" s="1">
        <v>43004.52</v>
      </c>
      <c r="P206" s="1">
        <v>8043.39</v>
      </c>
    </row>
    <row r="207" spans="1:16" x14ac:dyDescent="0.3">
      <c r="A207" s="1" t="s">
        <v>647</v>
      </c>
      <c r="B207" s="2">
        <v>45812</v>
      </c>
      <c r="C207" s="2" t="str">
        <f>TEXT(E_Commerce_data[[#This Row],[order_date]],"MMM")</f>
        <v>Jun</v>
      </c>
      <c r="D207" s="1" t="s">
        <v>318</v>
      </c>
      <c r="E207" s="1" t="s">
        <v>319</v>
      </c>
      <c r="F207" s="1" t="s">
        <v>93</v>
      </c>
      <c r="G207" s="1" t="s">
        <v>27</v>
      </c>
      <c r="H207" s="2">
        <v>45054</v>
      </c>
      <c r="I207" s="1" t="s">
        <v>633</v>
      </c>
      <c r="J207" s="1" t="s">
        <v>634</v>
      </c>
      <c r="K207" s="1" t="s">
        <v>560</v>
      </c>
      <c r="L207" s="1">
        <v>3596.1</v>
      </c>
      <c r="M207" s="1">
        <v>4</v>
      </c>
      <c r="N207" s="1">
        <v>0</v>
      </c>
      <c r="O207" s="1">
        <v>14384.4</v>
      </c>
      <c r="P207" s="1">
        <v>4697.38</v>
      </c>
    </row>
    <row r="208" spans="1:16" x14ac:dyDescent="0.3">
      <c r="A208" s="1" t="s">
        <v>333</v>
      </c>
      <c r="B208" s="2">
        <v>45716</v>
      </c>
      <c r="C208" s="2" t="str">
        <f>TEXT(E_Commerce_data[[#This Row],[order_date]],"MMM")</f>
        <v>Feb</v>
      </c>
      <c r="D208" s="1" t="s">
        <v>57</v>
      </c>
      <c r="E208" s="1" t="s">
        <v>58</v>
      </c>
      <c r="F208" s="1" t="s">
        <v>55</v>
      </c>
      <c r="G208" s="1" t="s">
        <v>27</v>
      </c>
      <c r="H208" s="2">
        <v>45391</v>
      </c>
      <c r="I208" s="1" t="s">
        <v>315</v>
      </c>
      <c r="J208" s="1" t="s">
        <v>316</v>
      </c>
      <c r="K208" s="1" t="s">
        <v>22</v>
      </c>
      <c r="L208" s="1">
        <v>16937.37</v>
      </c>
      <c r="M208" s="1">
        <v>2</v>
      </c>
      <c r="N208" s="1">
        <v>0.2</v>
      </c>
      <c r="O208" s="1">
        <v>27099.79</v>
      </c>
      <c r="P208" s="1">
        <v>1922.54</v>
      </c>
    </row>
    <row r="209" spans="1:16" x14ac:dyDescent="0.3">
      <c r="A209" s="1" t="s">
        <v>842</v>
      </c>
      <c r="B209" s="2">
        <v>45294</v>
      </c>
      <c r="C209" s="2" t="str">
        <f>TEXT(E_Commerce_data[[#This Row],[order_date]],"MMM")</f>
        <v>Jan</v>
      </c>
      <c r="D209" s="1" t="s">
        <v>99</v>
      </c>
      <c r="E209" s="1" t="s">
        <v>100</v>
      </c>
      <c r="F209" s="1" t="s">
        <v>43</v>
      </c>
      <c r="G209" s="1" t="s">
        <v>32</v>
      </c>
      <c r="H209" s="2">
        <v>45468</v>
      </c>
      <c r="I209" s="1" t="s">
        <v>822</v>
      </c>
      <c r="J209" s="1" t="s">
        <v>823</v>
      </c>
      <c r="K209" s="1" t="s">
        <v>560</v>
      </c>
      <c r="L209" s="1">
        <v>45275.73</v>
      </c>
      <c r="M209" s="1">
        <v>3</v>
      </c>
      <c r="N209" s="1">
        <v>0.2</v>
      </c>
      <c r="O209" s="1">
        <v>108661.75</v>
      </c>
      <c r="P209" s="1">
        <v>21984.59</v>
      </c>
    </row>
    <row r="210" spans="1:16" x14ac:dyDescent="0.3">
      <c r="A210" s="1" t="s">
        <v>720</v>
      </c>
      <c r="B210" s="2">
        <v>45893</v>
      </c>
      <c r="C210" s="2" t="str">
        <f>TEXT(E_Commerce_data[[#This Row],[order_date]],"MMM")</f>
        <v>Aug</v>
      </c>
      <c r="D210" s="1" t="s">
        <v>495</v>
      </c>
      <c r="E210" s="1" t="s">
        <v>496</v>
      </c>
      <c r="F210" s="1" t="s">
        <v>36</v>
      </c>
      <c r="G210" s="1" t="s">
        <v>32</v>
      </c>
      <c r="H210" s="2">
        <v>45623</v>
      </c>
      <c r="I210" s="1" t="s">
        <v>706</v>
      </c>
      <c r="J210" s="1" t="s">
        <v>707</v>
      </c>
      <c r="K210" s="1" t="s">
        <v>560</v>
      </c>
      <c r="L210" s="1">
        <v>31573.59</v>
      </c>
      <c r="M210" s="1">
        <v>3</v>
      </c>
      <c r="N210" s="1">
        <v>0.15</v>
      </c>
      <c r="O210" s="1">
        <v>80512.649999999994</v>
      </c>
      <c r="P210" s="1">
        <v>11236.89</v>
      </c>
    </row>
    <row r="211" spans="1:16" x14ac:dyDescent="0.3">
      <c r="A211" s="1" t="s">
        <v>334</v>
      </c>
      <c r="B211" s="2">
        <v>45444</v>
      </c>
      <c r="C211" s="2" t="str">
        <f>TEXT(E_Commerce_data[[#This Row],[order_date]],"MMM")</f>
        <v>Jun</v>
      </c>
      <c r="D211" s="1" t="s">
        <v>335</v>
      </c>
      <c r="E211" s="1" t="s">
        <v>336</v>
      </c>
      <c r="F211" s="1" t="s">
        <v>43</v>
      </c>
      <c r="G211" s="1" t="s">
        <v>32</v>
      </c>
      <c r="H211" s="2">
        <v>45315</v>
      </c>
      <c r="I211" s="1" t="s">
        <v>315</v>
      </c>
      <c r="J211" s="1" t="s">
        <v>316</v>
      </c>
      <c r="K211" s="1" t="s">
        <v>22</v>
      </c>
      <c r="L211" s="1">
        <v>16937.37</v>
      </c>
      <c r="M211" s="1">
        <v>5</v>
      </c>
      <c r="N211" s="1">
        <v>0.15</v>
      </c>
      <c r="O211" s="1">
        <v>71983.820000000007</v>
      </c>
      <c r="P211" s="1">
        <v>14173.05</v>
      </c>
    </row>
    <row r="212" spans="1:16" x14ac:dyDescent="0.3">
      <c r="A212" s="1" t="s">
        <v>575</v>
      </c>
      <c r="B212" s="2">
        <v>45632</v>
      </c>
      <c r="C212" s="2" t="str">
        <f>TEXT(E_Commerce_data[[#This Row],[order_date]],"MMM")</f>
        <v>Dec</v>
      </c>
      <c r="D212" s="1" t="s">
        <v>53</v>
      </c>
      <c r="E212" s="1" t="s">
        <v>54</v>
      </c>
      <c r="F212" s="1" t="s">
        <v>55</v>
      </c>
      <c r="G212" s="1" t="s">
        <v>27</v>
      </c>
      <c r="H212" s="2">
        <v>45623</v>
      </c>
      <c r="I212" s="1" t="s">
        <v>558</v>
      </c>
      <c r="J212" s="1" t="s">
        <v>559</v>
      </c>
      <c r="K212" s="1" t="s">
        <v>560</v>
      </c>
      <c r="L212" s="1">
        <v>11049.86</v>
      </c>
      <c r="M212" s="1">
        <v>4</v>
      </c>
      <c r="N212" s="1">
        <v>0.1</v>
      </c>
      <c r="O212" s="1">
        <v>39779.5</v>
      </c>
      <c r="P212" s="1">
        <v>7769.03</v>
      </c>
    </row>
    <row r="213" spans="1:16" x14ac:dyDescent="0.3">
      <c r="A213" s="1" t="s">
        <v>65</v>
      </c>
      <c r="B213" s="2">
        <v>45758</v>
      </c>
      <c r="C213" s="2" t="str">
        <f>TEXT(E_Commerce_data[[#This Row],[order_date]],"MMM")</f>
        <v>Apr</v>
      </c>
      <c r="D213" s="1" t="s">
        <v>66</v>
      </c>
      <c r="E213" s="1" t="s">
        <v>67</v>
      </c>
      <c r="F213" s="1" t="s">
        <v>18</v>
      </c>
      <c r="G213" s="1" t="s">
        <v>19</v>
      </c>
      <c r="H213" s="2">
        <v>45657</v>
      </c>
      <c r="I213" s="1" t="s">
        <v>20</v>
      </c>
      <c r="J213" s="1" t="s">
        <v>21</v>
      </c>
      <c r="K213" s="1" t="s">
        <v>22</v>
      </c>
      <c r="L213" s="1">
        <v>6094.16</v>
      </c>
      <c r="M213" s="1">
        <v>5</v>
      </c>
      <c r="N213" s="1">
        <v>0.2</v>
      </c>
      <c r="O213" s="1">
        <v>24376.639999999999</v>
      </c>
      <c r="P213" s="1">
        <v>5192.93</v>
      </c>
    </row>
    <row r="214" spans="1:16" x14ac:dyDescent="0.3">
      <c r="A214" s="1" t="s">
        <v>776</v>
      </c>
      <c r="B214" s="2">
        <v>46006</v>
      </c>
      <c r="C214" s="2" t="str">
        <f>TEXT(E_Commerce_data[[#This Row],[order_date]],"MMM")</f>
        <v>Dec</v>
      </c>
      <c r="D214" s="1" t="s">
        <v>74</v>
      </c>
      <c r="E214" s="1" t="s">
        <v>75</v>
      </c>
      <c r="F214" s="1" t="s">
        <v>76</v>
      </c>
      <c r="G214" s="1" t="s">
        <v>32</v>
      </c>
      <c r="H214" s="2">
        <v>44954</v>
      </c>
      <c r="I214" s="1" t="s">
        <v>763</v>
      </c>
      <c r="J214" s="1" t="s">
        <v>764</v>
      </c>
      <c r="K214" s="1" t="s">
        <v>560</v>
      </c>
      <c r="L214" s="1">
        <v>11485.64</v>
      </c>
      <c r="M214" s="1">
        <v>3</v>
      </c>
      <c r="N214" s="1">
        <v>0.2</v>
      </c>
      <c r="O214" s="1">
        <v>27565.54</v>
      </c>
      <c r="P214" s="1">
        <v>2938.37</v>
      </c>
    </row>
    <row r="215" spans="1:16" x14ac:dyDescent="0.3">
      <c r="A215" s="1" t="s">
        <v>978</v>
      </c>
      <c r="B215" s="2">
        <v>45712</v>
      </c>
      <c r="C215" s="2" t="str">
        <f>TEXT(E_Commerce_data[[#This Row],[order_date]],"MMM")</f>
        <v>Feb</v>
      </c>
      <c r="D215" s="1" t="s">
        <v>371</v>
      </c>
      <c r="E215" s="1" t="s">
        <v>372</v>
      </c>
      <c r="F215" s="1" t="s">
        <v>31</v>
      </c>
      <c r="G215" s="1" t="s">
        <v>32</v>
      </c>
      <c r="H215" s="2">
        <v>45007</v>
      </c>
      <c r="I215" s="1" t="s">
        <v>964</v>
      </c>
      <c r="J215" s="1" t="s">
        <v>965</v>
      </c>
      <c r="K215" s="1" t="s">
        <v>902</v>
      </c>
      <c r="L215" s="1">
        <v>3589.32</v>
      </c>
      <c r="M215" s="1">
        <v>2</v>
      </c>
      <c r="N215" s="1">
        <v>0.1</v>
      </c>
      <c r="O215" s="1">
        <v>6460.78</v>
      </c>
      <c r="P215" s="1">
        <v>1065.33</v>
      </c>
    </row>
    <row r="216" spans="1:16" x14ac:dyDescent="0.3">
      <c r="A216" s="1" t="s">
        <v>576</v>
      </c>
      <c r="B216" s="2">
        <v>46014</v>
      </c>
      <c r="C216" s="2" t="str">
        <f>TEXT(E_Commerce_data[[#This Row],[order_date]],"MMM")</f>
        <v>Dec</v>
      </c>
      <c r="D216" s="1" t="s">
        <v>449</v>
      </c>
      <c r="E216" s="1" t="s">
        <v>450</v>
      </c>
      <c r="F216" s="1" t="s">
        <v>93</v>
      </c>
      <c r="G216" s="1" t="s">
        <v>27</v>
      </c>
      <c r="H216" s="2">
        <v>45035</v>
      </c>
      <c r="I216" s="1" t="s">
        <v>558</v>
      </c>
      <c r="J216" s="1" t="s">
        <v>559</v>
      </c>
      <c r="K216" s="1" t="s">
        <v>560</v>
      </c>
      <c r="L216" s="1">
        <v>11049.86</v>
      </c>
      <c r="M216" s="1">
        <v>1</v>
      </c>
      <c r="N216" s="1">
        <v>0</v>
      </c>
      <c r="O216" s="1">
        <v>11049.86</v>
      </c>
      <c r="P216" s="1">
        <v>3021.16</v>
      </c>
    </row>
    <row r="217" spans="1:16" x14ac:dyDescent="0.3">
      <c r="A217" s="1" t="s">
        <v>68</v>
      </c>
      <c r="B217" s="2">
        <v>45959</v>
      </c>
      <c r="C217" s="2" t="str">
        <f>TEXT(E_Commerce_data[[#This Row],[order_date]],"MMM")</f>
        <v>Oct</v>
      </c>
      <c r="D217" s="1" t="s">
        <v>66</v>
      </c>
      <c r="E217" s="1" t="s">
        <v>67</v>
      </c>
      <c r="F217" s="1" t="s">
        <v>18</v>
      </c>
      <c r="G217" s="1" t="s">
        <v>19</v>
      </c>
      <c r="H217" s="2">
        <v>45657</v>
      </c>
      <c r="I217" s="1" t="s">
        <v>20</v>
      </c>
      <c r="J217" s="1" t="s">
        <v>21</v>
      </c>
      <c r="K217" s="1" t="s">
        <v>22</v>
      </c>
      <c r="L217" s="1">
        <v>6094.16</v>
      </c>
      <c r="M217" s="1">
        <v>4</v>
      </c>
      <c r="N217" s="1">
        <v>0.05</v>
      </c>
      <c r="O217" s="1">
        <v>23157.81</v>
      </c>
      <c r="P217" s="1">
        <v>8024.74</v>
      </c>
    </row>
    <row r="218" spans="1:16" x14ac:dyDescent="0.3">
      <c r="A218" s="1" t="s">
        <v>432</v>
      </c>
      <c r="B218" s="2">
        <v>45421</v>
      </c>
      <c r="C218" s="2" t="str">
        <f>TEXT(E_Commerce_data[[#This Row],[order_date]],"MMM")</f>
        <v>May</v>
      </c>
      <c r="D218" s="1" t="s">
        <v>132</v>
      </c>
      <c r="E218" s="1" t="s">
        <v>133</v>
      </c>
      <c r="F218" s="1" t="s">
        <v>76</v>
      </c>
      <c r="G218" s="1" t="s">
        <v>32</v>
      </c>
      <c r="H218" s="2">
        <v>45359</v>
      </c>
      <c r="I218" s="1" t="s">
        <v>420</v>
      </c>
      <c r="J218" s="1" t="s">
        <v>421</v>
      </c>
      <c r="K218" s="1" t="s">
        <v>22</v>
      </c>
      <c r="L218" s="1">
        <v>29436.02</v>
      </c>
      <c r="M218" s="1">
        <v>2</v>
      </c>
      <c r="N218" s="1">
        <v>0.05</v>
      </c>
      <c r="O218" s="1">
        <v>55928.44</v>
      </c>
      <c r="P218" s="1">
        <v>18984.759999999998</v>
      </c>
    </row>
    <row r="219" spans="1:16" x14ac:dyDescent="0.3">
      <c r="A219" s="1" t="s">
        <v>254</v>
      </c>
      <c r="B219" s="2">
        <v>45394</v>
      </c>
      <c r="C219" s="2" t="str">
        <f>TEXT(E_Commerce_data[[#This Row],[order_date]],"MMM")</f>
        <v>Apr</v>
      </c>
      <c r="D219" s="1" t="s">
        <v>255</v>
      </c>
      <c r="E219" s="1" t="s">
        <v>256</v>
      </c>
      <c r="F219" s="1" t="s">
        <v>26</v>
      </c>
      <c r="G219" s="1" t="s">
        <v>27</v>
      </c>
      <c r="H219" s="2">
        <v>45372</v>
      </c>
      <c r="I219" s="1" t="s">
        <v>215</v>
      </c>
      <c r="J219" s="1" t="s">
        <v>216</v>
      </c>
      <c r="K219" s="1" t="s">
        <v>22</v>
      </c>
      <c r="L219" s="1">
        <v>11273.63</v>
      </c>
      <c r="M219" s="1">
        <v>5</v>
      </c>
      <c r="N219" s="1">
        <v>0.1</v>
      </c>
      <c r="O219" s="1">
        <v>50731.34</v>
      </c>
      <c r="P219" s="1">
        <v>7589.33</v>
      </c>
    </row>
    <row r="220" spans="1:16" x14ac:dyDescent="0.3">
      <c r="A220" s="1" t="s">
        <v>979</v>
      </c>
      <c r="B220" s="2">
        <v>45759</v>
      </c>
      <c r="C220" s="2" t="str">
        <f>TEXT(E_Commerce_data[[#This Row],[order_date]],"MMM")</f>
        <v>Apr</v>
      </c>
      <c r="D220" s="1" t="s">
        <v>175</v>
      </c>
      <c r="E220" s="1" t="s">
        <v>176</v>
      </c>
      <c r="F220" s="1" t="s">
        <v>26</v>
      </c>
      <c r="G220" s="1" t="s">
        <v>27</v>
      </c>
      <c r="H220" s="2">
        <v>45581</v>
      </c>
      <c r="I220" s="1" t="s">
        <v>964</v>
      </c>
      <c r="J220" s="1" t="s">
        <v>965</v>
      </c>
      <c r="K220" s="1" t="s">
        <v>902</v>
      </c>
      <c r="L220" s="1">
        <v>3589.32</v>
      </c>
      <c r="M220" s="1">
        <v>4</v>
      </c>
      <c r="N220" s="1">
        <v>0</v>
      </c>
      <c r="O220" s="1">
        <v>14357.28</v>
      </c>
      <c r="P220" s="1">
        <v>2983.23</v>
      </c>
    </row>
    <row r="221" spans="1:16" x14ac:dyDescent="0.3">
      <c r="A221" s="1" t="s">
        <v>912</v>
      </c>
      <c r="B221" s="2">
        <v>45962</v>
      </c>
      <c r="C221" s="2" t="str">
        <f>TEXT(E_Commerce_data[[#This Row],[order_date]],"MMM")</f>
        <v>Nov</v>
      </c>
      <c r="D221" s="1" t="s">
        <v>243</v>
      </c>
      <c r="E221" s="1" t="s">
        <v>244</v>
      </c>
      <c r="F221" s="1" t="s">
        <v>18</v>
      </c>
      <c r="G221" s="1" t="s">
        <v>19</v>
      </c>
      <c r="H221" s="2">
        <v>45223</v>
      </c>
      <c r="I221" s="1" t="s">
        <v>900</v>
      </c>
      <c r="J221" s="1" t="s">
        <v>901</v>
      </c>
      <c r="K221" s="1" t="s">
        <v>902</v>
      </c>
      <c r="L221" s="1">
        <v>42988.79</v>
      </c>
      <c r="M221" s="1">
        <v>1</v>
      </c>
      <c r="N221" s="1">
        <v>0.15</v>
      </c>
      <c r="O221" s="1">
        <v>36540.47</v>
      </c>
      <c r="P221" s="1">
        <v>3407.28</v>
      </c>
    </row>
    <row r="222" spans="1:16" x14ac:dyDescent="0.3">
      <c r="A222" s="1" t="s">
        <v>433</v>
      </c>
      <c r="B222" s="2">
        <v>45563</v>
      </c>
      <c r="C222" s="2" t="str">
        <f>TEXT(E_Commerce_data[[#This Row],[order_date]],"MMM")</f>
        <v>Sep</v>
      </c>
      <c r="D222" s="1" t="s">
        <v>109</v>
      </c>
      <c r="E222" s="1" t="s">
        <v>110</v>
      </c>
      <c r="F222" s="1" t="s">
        <v>31</v>
      </c>
      <c r="G222" s="1" t="s">
        <v>32</v>
      </c>
      <c r="H222" s="2">
        <v>45026</v>
      </c>
      <c r="I222" s="1" t="s">
        <v>420</v>
      </c>
      <c r="J222" s="1" t="s">
        <v>421</v>
      </c>
      <c r="K222" s="1" t="s">
        <v>22</v>
      </c>
      <c r="L222" s="1">
        <v>29436.02</v>
      </c>
      <c r="M222" s="1">
        <v>2</v>
      </c>
      <c r="N222" s="1">
        <v>0</v>
      </c>
      <c r="O222" s="1">
        <v>58872.04</v>
      </c>
      <c r="P222" s="1">
        <v>11235.56</v>
      </c>
    </row>
    <row r="223" spans="1:16" x14ac:dyDescent="0.3">
      <c r="A223" s="1" t="s">
        <v>434</v>
      </c>
      <c r="B223" s="2">
        <v>45957</v>
      </c>
      <c r="C223" s="2" t="str">
        <f>TEXT(E_Commerce_data[[#This Row],[order_date]],"MMM")</f>
        <v>Oct</v>
      </c>
      <c r="D223" s="1" t="s">
        <v>34</v>
      </c>
      <c r="E223" s="1" t="s">
        <v>35</v>
      </c>
      <c r="F223" s="1" t="s">
        <v>36</v>
      </c>
      <c r="G223" s="1" t="s">
        <v>32</v>
      </c>
      <c r="H223" s="2">
        <v>45041</v>
      </c>
      <c r="I223" s="1" t="s">
        <v>420</v>
      </c>
      <c r="J223" s="1" t="s">
        <v>421</v>
      </c>
      <c r="K223" s="1" t="s">
        <v>22</v>
      </c>
      <c r="L223" s="1">
        <v>29436.02</v>
      </c>
      <c r="M223" s="1">
        <v>3</v>
      </c>
      <c r="N223" s="1">
        <v>0.1</v>
      </c>
      <c r="O223" s="1">
        <v>79477.25</v>
      </c>
      <c r="P223" s="1">
        <v>20490.14</v>
      </c>
    </row>
    <row r="224" spans="1:16" x14ac:dyDescent="0.3">
      <c r="A224" s="1" t="s">
        <v>843</v>
      </c>
      <c r="B224" s="2">
        <v>45982</v>
      </c>
      <c r="C224" s="2" t="str">
        <f>TEXT(E_Commerce_data[[#This Row],[order_date]],"MMM")</f>
        <v>Nov</v>
      </c>
      <c r="D224" s="1" t="s">
        <v>263</v>
      </c>
      <c r="E224" s="1" t="s">
        <v>264</v>
      </c>
      <c r="F224" s="1" t="s">
        <v>36</v>
      </c>
      <c r="G224" s="1" t="s">
        <v>32</v>
      </c>
      <c r="H224" s="2">
        <v>45397</v>
      </c>
      <c r="I224" s="1" t="s">
        <v>822</v>
      </c>
      <c r="J224" s="1" t="s">
        <v>823</v>
      </c>
      <c r="K224" s="1" t="s">
        <v>560</v>
      </c>
      <c r="L224" s="1">
        <v>45275.73</v>
      </c>
      <c r="M224" s="1">
        <v>1</v>
      </c>
      <c r="N224" s="1">
        <v>0.2</v>
      </c>
      <c r="O224" s="1">
        <v>36220.58</v>
      </c>
      <c r="P224" s="1">
        <v>5381.28</v>
      </c>
    </row>
    <row r="225" spans="1:16" x14ac:dyDescent="0.3">
      <c r="A225" s="1" t="s">
        <v>777</v>
      </c>
      <c r="B225" s="2">
        <v>45933</v>
      </c>
      <c r="C225" s="2" t="str">
        <f>TEXT(E_Commerce_data[[#This Row],[order_date]],"MMM")</f>
        <v>Oct</v>
      </c>
      <c r="D225" s="1" t="s">
        <v>209</v>
      </c>
      <c r="E225" s="1" t="s">
        <v>210</v>
      </c>
      <c r="F225" s="1" t="s">
        <v>18</v>
      </c>
      <c r="G225" s="1" t="s">
        <v>19</v>
      </c>
      <c r="H225" s="2">
        <v>45507</v>
      </c>
      <c r="I225" s="1" t="s">
        <v>763</v>
      </c>
      <c r="J225" s="1" t="s">
        <v>764</v>
      </c>
      <c r="K225" s="1" t="s">
        <v>560</v>
      </c>
      <c r="L225" s="1">
        <v>11485.64</v>
      </c>
      <c r="M225" s="1">
        <v>5</v>
      </c>
      <c r="N225" s="1">
        <v>0.05</v>
      </c>
      <c r="O225" s="1">
        <v>54556.79</v>
      </c>
      <c r="P225" s="1">
        <v>18344.28</v>
      </c>
    </row>
    <row r="226" spans="1:16" x14ac:dyDescent="0.3">
      <c r="A226" s="1" t="s">
        <v>69</v>
      </c>
      <c r="B226" s="2">
        <v>45924</v>
      </c>
      <c r="C226" s="2" t="str">
        <f>TEXT(E_Commerce_data[[#This Row],[order_date]],"MMM")</f>
        <v>Sep</v>
      </c>
      <c r="D226" s="1" t="s">
        <v>70</v>
      </c>
      <c r="E226" s="1" t="s">
        <v>71</v>
      </c>
      <c r="F226" s="1" t="s">
        <v>72</v>
      </c>
      <c r="G226" s="1" t="s">
        <v>48</v>
      </c>
      <c r="H226" s="2">
        <v>45150</v>
      </c>
      <c r="I226" s="1" t="s">
        <v>20</v>
      </c>
      <c r="J226" s="1" t="s">
        <v>21</v>
      </c>
      <c r="K226" s="1" t="s">
        <v>22</v>
      </c>
      <c r="L226" s="1">
        <v>6094.16</v>
      </c>
      <c r="M226" s="1">
        <v>4</v>
      </c>
      <c r="N226" s="1">
        <v>0.2</v>
      </c>
      <c r="O226" s="1">
        <v>19501.310000000001</v>
      </c>
      <c r="P226" s="1">
        <v>4140.22</v>
      </c>
    </row>
    <row r="227" spans="1:16" x14ac:dyDescent="0.3">
      <c r="A227" s="1" t="s">
        <v>648</v>
      </c>
      <c r="B227" s="2">
        <v>45586</v>
      </c>
      <c r="C227" s="2" t="str">
        <f>TEXT(E_Commerce_data[[#This Row],[order_date]],"MMM")</f>
        <v>Oct</v>
      </c>
      <c r="D227" s="1" t="s">
        <v>189</v>
      </c>
      <c r="E227" s="1" t="s">
        <v>190</v>
      </c>
      <c r="F227" s="1" t="s">
        <v>26</v>
      </c>
      <c r="G227" s="1" t="s">
        <v>27</v>
      </c>
      <c r="H227" s="2">
        <v>45645</v>
      </c>
      <c r="I227" s="1" t="s">
        <v>633</v>
      </c>
      <c r="J227" s="1" t="s">
        <v>634</v>
      </c>
      <c r="K227" s="1" t="s">
        <v>560</v>
      </c>
      <c r="L227" s="1">
        <v>3596.1</v>
      </c>
      <c r="M227" s="1">
        <v>1</v>
      </c>
      <c r="N227" s="1">
        <v>0</v>
      </c>
      <c r="O227" s="1">
        <v>3596.1</v>
      </c>
      <c r="P227" s="1">
        <v>860.72</v>
      </c>
    </row>
    <row r="228" spans="1:16" x14ac:dyDescent="0.3">
      <c r="A228" s="1" t="s">
        <v>649</v>
      </c>
      <c r="B228" s="2">
        <v>45392</v>
      </c>
      <c r="C228" s="2" t="str">
        <f>TEXT(E_Commerce_data[[#This Row],[order_date]],"MMM")</f>
        <v>Apr</v>
      </c>
      <c r="D228" s="1" t="s">
        <v>34</v>
      </c>
      <c r="E228" s="1" t="s">
        <v>35</v>
      </c>
      <c r="F228" s="1" t="s">
        <v>36</v>
      </c>
      <c r="G228" s="1" t="s">
        <v>32</v>
      </c>
      <c r="H228" s="2">
        <v>45041</v>
      </c>
      <c r="I228" s="1" t="s">
        <v>633</v>
      </c>
      <c r="J228" s="1" t="s">
        <v>634</v>
      </c>
      <c r="K228" s="1" t="s">
        <v>560</v>
      </c>
      <c r="L228" s="1">
        <v>3596.1</v>
      </c>
      <c r="M228" s="1">
        <v>2</v>
      </c>
      <c r="N228" s="1">
        <v>0.15</v>
      </c>
      <c r="O228" s="1">
        <v>6113.37</v>
      </c>
      <c r="P228" s="1">
        <v>471.43</v>
      </c>
    </row>
    <row r="229" spans="1:16" x14ac:dyDescent="0.3">
      <c r="A229" s="1" t="s">
        <v>1051</v>
      </c>
      <c r="B229" s="2">
        <v>45598</v>
      </c>
      <c r="C229" s="2" t="str">
        <f>TEXT(E_Commerce_data[[#This Row],[order_date]],"MMM")</f>
        <v>Nov</v>
      </c>
      <c r="D229" s="1" t="s">
        <v>195</v>
      </c>
      <c r="E229" s="1" t="s">
        <v>196</v>
      </c>
      <c r="F229" s="1" t="s">
        <v>72</v>
      </c>
      <c r="G229" s="1" t="s">
        <v>48</v>
      </c>
      <c r="H229" s="2">
        <v>45165</v>
      </c>
      <c r="I229" s="1" t="s">
        <v>1034</v>
      </c>
      <c r="J229" s="1" t="s">
        <v>1035</v>
      </c>
      <c r="K229" s="1" t="s">
        <v>902</v>
      </c>
      <c r="L229" s="1">
        <v>11938.33</v>
      </c>
      <c r="M229" s="1">
        <v>1</v>
      </c>
      <c r="N229" s="1">
        <v>0.05</v>
      </c>
      <c r="O229" s="1">
        <v>11341.41</v>
      </c>
      <c r="P229" s="1">
        <v>1133.1099999999999</v>
      </c>
    </row>
    <row r="230" spans="1:16" x14ac:dyDescent="0.3">
      <c r="A230" s="1" t="s">
        <v>508</v>
      </c>
      <c r="B230" s="2">
        <v>45349</v>
      </c>
      <c r="C230" s="2" t="str">
        <f>TEXT(E_Commerce_data[[#This Row],[order_date]],"MMM")</f>
        <v>Feb</v>
      </c>
      <c r="D230" s="1" t="s">
        <v>50</v>
      </c>
      <c r="E230" s="1" t="s">
        <v>51</v>
      </c>
      <c r="F230" s="1" t="s">
        <v>47</v>
      </c>
      <c r="G230" s="1" t="s">
        <v>48</v>
      </c>
      <c r="H230" s="2">
        <v>45041</v>
      </c>
      <c r="I230" s="1" t="s">
        <v>489</v>
      </c>
      <c r="J230" s="1" t="s">
        <v>490</v>
      </c>
      <c r="K230" s="1" t="s">
        <v>22</v>
      </c>
      <c r="L230" s="1">
        <v>11544.23</v>
      </c>
      <c r="M230" s="1">
        <v>1</v>
      </c>
      <c r="N230" s="1">
        <v>0</v>
      </c>
      <c r="O230" s="1">
        <v>11544.23</v>
      </c>
      <c r="P230" s="1">
        <v>1700.61</v>
      </c>
    </row>
    <row r="231" spans="1:16" x14ac:dyDescent="0.3">
      <c r="A231" s="1" t="s">
        <v>73</v>
      </c>
      <c r="B231" s="2">
        <v>45441</v>
      </c>
      <c r="C231" s="2" t="str">
        <f>TEXT(E_Commerce_data[[#This Row],[order_date]],"MMM")</f>
        <v>May</v>
      </c>
      <c r="D231" s="1" t="s">
        <v>74</v>
      </c>
      <c r="E231" s="1" t="s">
        <v>75</v>
      </c>
      <c r="F231" s="1" t="s">
        <v>76</v>
      </c>
      <c r="G231" s="1" t="s">
        <v>32</v>
      </c>
      <c r="H231" s="2">
        <v>44954</v>
      </c>
      <c r="I231" s="1" t="s">
        <v>20</v>
      </c>
      <c r="J231" s="1" t="s">
        <v>21</v>
      </c>
      <c r="K231" s="1" t="s">
        <v>22</v>
      </c>
      <c r="L231" s="1">
        <v>6094.16</v>
      </c>
      <c r="M231" s="1">
        <v>3</v>
      </c>
      <c r="N231" s="1">
        <v>0</v>
      </c>
      <c r="O231" s="1">
        <v>18282.48</v>
      </c>
      <c r="P231" s="1">
        <v>2970.03</v>
      </c>
    </row>
    <row r="232" spans="1:16" x14ac:dyDescent="0.3">
      <c r="A232" s="1" t="s">
        <v>980</v>
      </c>
      <c r="B232" s="2">
        <v>45990</v>
      </c>
      <c r="C232" s="2" t="str">
        <f>TEXT(E_Commerce_data[[#This Row],[order_date]],"MMM")</f>
        <v>Nov</v>
      </c>
      <c r="D232" s="1" t="s">
        <v>255</v>
      </c>
      <c r="E232" s="1" t="s">
        <v>256</v>
      </c>
      <c r="F232" s="1" t="s">
        <v>26</v>
      </c>
      <c r="G232" s="1" t="s">
        <v>27</v>
      </c>
      <c r="H232" s="2">
        <v>45372</v>
      </c>
      <c r="I232" s="1" t="s">
        <v>964</v>
      </c>
      <c r="J232" s="1" t="s">
        <v>965</v>
      </c>
      <c r="K232" s="1" t="s">
        <v>902</v>
      </c>
      <c r="L232" s="1">
        <v>3589.32</v>
      </c>
      <c r="M232" s="1">
        <v>2</v>
      </c>
      <c r="N232" s="1">
        <v>0.1</v>
      </c>
      <c r="O232" s="1">
        <v>6460.78</v>
      </c>
      <c r="P232" s="1">
        <v>1121.69</v>
      </c>
    </row>
    <row r="233" spans="1:16" x14ac:dyDescent="0.3">
      <c r="A233" s="1" t="s">
        <v>844</v>
      </c>
      <c r="B233" s="2">
        <v>45916</v>
      </c>
      <c r="C233" s="2" t="str">
        <f>TEXT(E_Commerce_data[[#This Row],[order_date]],"MMM")</f>
        <v>Sep</v>
      </c>
      <c r="D233" s="1" t="s">
        <v>248</v>
      </c>
      <c r="E233" s="1" t="s">
        <v>249</v>
      </c>
      <c r="F233" s="1" t="s">
        <v>72</v>
      </c>
      <c r="G233" s="1" t="s">
        <v>48</v>
      </c>
      <c r="H233" s="2">
        <v>45619</v>
      </c>
      <c r="I233" s="1" t="s">
        <v>822</v>
      </c>
      <c r="J233" s="1" t="s">
        <v>823</v>
      </c>
      <c r="K233" s="1" t="s">
        <v>560</v>
      </c>
      <c r="L233" s="1">
        <v>45275.73</v>
      </c>
      <c r="M233" s="1">
        <v>2</v>
      </c>
      <c r="N233" s="1">
        <v>0</v>
      </c>
      <c r="O233" s="1">
        <v>90551.46</v>
      </c>
      <c r="P233" s="1">
        <v>9283.41</v>
      </c>
    </row>
    <row r="234" spans="1:16" x14ac:dyDescent="0.3">
      <c r="A234" s="1" t="s">
        <v>981</v>
      </c>
      <c r="B234" s="2">
        <v>45801</v>
      </c>
      <c r="C234" s="2" t="str">
        <f>TEXT(E_Commerce_data[[#This Row],[order_date]],"MMM")</f>
        <v>May</v>
      </c>
      <c r="D234" s="1" t="s">
        <v>162</v>
      </c>
      <c r="E234" s="1" t="s">
        <v>163</v>
      </c>
      <c r="F234" s="1" t="s">
        <v>93</v>
      </c>
      <c r="G234" s="1" t="s">
        <v>27</v>
      </c>
      <c r="H234" s="2">
        <v>45200</v>
      </c>
      <c r="I234" s="1" t="s">
        <v>964</v>
      </c>
      <c r="J234" s="1" t="s">
        <v>965</v>
      </c>
      <c r="K234" s="1" t="s">
        <v>902</v>
      </c>
      <c r="L234" s="1">
        <v>3589.32</v>
      </c>
      <c r="M234" s="1">
        <v>4</v>
      </c>
      <c r="N234" s="1">
        <v>0.1</v>
      </c>
      <c r="O234" s="1">
        <v>12921.55</v>
      </c>
      <c r="P234" s="1">
        <v>3294.22</v>
      </c>
    </row>
    <row r="235" spans="1:16" x14ac:dyDescent="0.3">
      <c r="A235" s="1" t="s">
        <v>577</v>
      </c>
      <c r="B235" s="2">
        <v>45945</v>
      </c>
      <c r="C235" s="2" t="str">
        <f>TEXT(E_Commerce_data[[#This Row],[order_date]],"MMM")</f>
        <v>Oct</v>
      </c>
      <c r="D235" s="1" t="s">
        <v>183</v>
      </c>
      <c r="E235" s="1" t="s">
        <v>184</v>
      </c>
      <c r="F235" s="1" t="s">
        <v>47</v>
      </c>
      <c r="G235" s="1" t="s">
        <v>48</v>
      </c>
      <c r="H235" s="2">
        <v>45151</v>
      </c>
      <c r="I235" s="1" t="s">
        <v>558</v>
      </c>
      <c r="J235" s="1" t="s">
        <v>559</v>
      </c>
      <c r="K235" s="1" t="s">
        <v>560</v>
      </c>
      <c r="L235" s="1">
        <v>11049.86</v>
      </c>
      <c r="M235" s="1">
        <v>5</v>
      </c>
      <c r="N235" s="1">
        <v>0</v>
      </c>
      <c r="O235" s="1">
        <v>55249.3</v>
      </c>
      <c r="P235" s="1">
        <v>6610.94</v>
      </c>
    </row>
    <row r="236" spans="1:16" x14ac:dyDescent="0.3">
      <c r="A236" s="1" t="s">
        <v>1184</v>
      </c>
      <c r="B236" s="2">
        <v>45301</v>
      </c>
      <c r="C236" s="2" t="str">
        <f>TEXT(E_Commerce_data[[#This Row],[order_date]],"MMM")</f>
        <v>Jan</v>
      </c>
      <c r="D236" s="1" t="s">
        <v>109</v>
      </c>
      <c r="E236" s="1" t="s">
        <v>110</v>
      </c>
      <c r="F236" s="1" t="s">
        <v>31</v>
      </c>
      <c r="G236" s="1" t="s">
        <v>32</v>
      </c>
      <c r="H236" s="2">
        <v>45026</v>
      </c>
      <c r="I236" s="1" t="s">
        <v>1162</v>
      </c>
      <c r="J236" s="1" t="s">
        <v>1163</v>
      </c>
      <c r="K236" s="1" t="s">
        <v>902</v>
      </c>
      <c r="L236" s="1">
        <v>10751.13</v>
      </c>
      <c r="M236" s="1">
        <v>3</v>
      </c>
      <c r="N236" s="1">
        <v>0.05</v>
      </c>
      <c r="O236" s="1">
        <v>30640.720000000001</v>
      </c>
      <c r="P236" s="1">
        <v>3879.05</v>
      </c>
    </row>
    <row r="237" spans="1:16" x14ac:dyDescent="0.3">
      <c r="A237" s="1" t="s">
        <v>650</v>
      </c>
      <c r="B237" s="2">
        <v>45453</v>
      </c>
      <c r="C237" s="2" t="str">
        <f>TEXT(E_Commerce_data[[#This Row],[order_date]],"MMM")</f>
        <v>Jun</v>
      </c>
      <c r="D237" s="1" t="s">
        <v>179</v>
      </c>
      <c r="E237" s="1" t="s">
        <v>180</v>
      </c>
      <c r="F237" s="1" t="s">
        <v>47</v>
      </c>
      <c r="G237" s="1" t="s">
        <v>48</v>
      </c>
      <c r="H237" s="2">
        <v>45337</v>
      </c>
      <c r="I237" s="1" t="s">
        <v>633</v>
      </c>
      <c r="J237" s="1" t="s">
        <v>634</v>
      </c>
      <c r="K237" s="1" t="s">
        <v>560</v>
      </c>
      <c r="L237" s="1">
        <v>3596.1</v>
      </c>
      <c r="M237" s="1">
        <v>4</v>
      </c>
      <c r="N237" s="1">
        <v>0</v>
      </c>
      <c r="O237" s="1">
        <v>14384.4</v>
      </c>
      <c r="P237" s="1">
        <v>3643.33</v>
      </c>
    </row>
    <row r="238" spans="1:16" x14ac:dyDescent="0.3">
      <c r="A238" s="1" t="s">
        <v>77</v>
      </c>
      <c r="B238" s="2">
        <v>45893</v>
      </c>
      <c r="C238" s="2" t="str">
        <f>TEXT(E_Commerce_data[[#This Row],[order_date]],"MMM")</f>
        <v>Aug</v>
      </c>
      <c r="D238" s="1" t="s">
        <v>78</v>
      </c>
      <c r="E238" s="1" t="s">
        <v>79</v>
      </c>
      <c r="F238" s="1" t="s">
        <v>76</v>
      </c>
      <c r="G238" s="1" t="s">
        <v>32</v>
      </c>
      <c r="H238" s="2">
        <v>45365</v>
      </c>
      <c r="I238" s="1" t="s">
        <v>20</v>
      </c>
      <c r="J238" s="1" t="s">
        <v>21</v>
      </c>
      <c r="K238" s="1" t="s">
        <v>22</v>
      </c>
      <c r="L238" s="1">
        <v>6094.16</v>
      </c>
      <c r="M238" s="1">
        <v>1</v>
      </c>
      <c r="N238" s="1">
        <v>0.05</v>
      </c>
      <c r="O238" s="1">
        <v>5789.45</v>
      </c>
      <c r="P238" s="1">
        <v>1931.19</v>
      </c>
    </row>
    <row r="239" spans="1:16" x14ac:dyDescent="0.3">
      <c r="A239" s="1" t="s">
        <v>845</v>
      </c>
      <c r="B239" s="2">
        <v>45998</v>
      </c>
      <c r="C239" s="2" t="str">
        <f>TEXT(E_Commerce_data[[#This Row],[order_date]],"MMM")</f>
        <v>Dec</v>
      </c>
      <c r="D239" s="1" t="s">
        <v>444</v>
      </c>
      <c r="E239" s="1" t="s">
        <v>445</v>
      </c>
      <c r="F239" s="1" t="s">
        <v>76</v>
      </c>
      <c r="G239" s="1" t="s">
        <v>32</v>
      </c>
      <c r="H239" s="2">
        <v>45123</v>
      </c>
      <c r="I239" s="1" t="s">
        <v>822</v>
      </c>
      <c r="J239" s="1" t="s">
        <v>823</v>
      </c>
      <c r="K239" s="1" t="s">
        <v>560</v>
      </c>
      <c r="L239" s="1">
        <v>45275.73</v>
      </c>
      <c r="M239" s="1">
        <v>3</v>
      </c>
      <c r="N239" s="1">
        <v>0.15</v>
      </c>
      <c r="O239" s="1">
        <v>115453.11</v>
      </c>
      <c r="P239" s="1">
        <v>39093.43</v>
      </c>
    </row>
    <row r="240" spans="1:16" x14ac:dyDescent="0.3">
      <c r="A240" s="1" t="s">
        <v>778</v>
      </c>
      <c r="B240" s="2">
        <v>45495</v>
      </c>
      <c r="C240" s="2" t="str">
        <f>TEXT(E_Commerce_data[[#This Row],[order_date]],"MMM")</f>
        <v>Jul</v>
      </c>
      <c r="D240" s="1" t="s">
        <v>237</v>
      </c>
      <c r="E240" s="1" t="s">
        <v>238</v>
      </c>
      <c r="F240" s="1" t="s">
        <v>93</v>
      </c>
      <c r="G240" s="1" t="s">
        <v>27</v>
      </c>
      <c r="H240" s="2">
        <v>45151</v>
      </c>
      <c r="I240" s="1" t="s">
        <v>763</v>
      </c>
      <c r="J240" s="1" t="s">
        <v>764</v>
      </c>
      <c r="K240" s="1" t="s">
        <v>560</v>
      </c>
      <c r="L240" s="1">
        <v>11485.64</v>
      </c>
      <c r="M240" s="1">
        <v>3</v>
      </c>
      <c r="N240" s="1">
        <v>0.05</v>
      </c>
      <c r="O240" s="1">
        <v>32734.07</v>
      </c>
      <c r="P240" s="1">
        <v>9937.77</v>
      </c>
    </row>
    <row r="241" spans="1:16" x14ac:dyDescent="0.3">
      <c r="A241" s="1" t="s">
        <v>1052</v>
      </c>
      <c r="B241" s="2">
        <v>45534</v>
      </c>
      <c r="C241" s="2" t="str">
        <f>TEXT(E_Commerce_data[[#This Row],[order_date]],"MMM")</f>
        <v>Aug</v>
      </c>
      <c r="D241" s="1" t="s">
        <v>165</v>
      </c>
      <c r="E241" s="1" t="s">
        <v>166</v>
      </c>
      <c r="F241" s="1" t="s">
        <v>36</v>
      </c>
      <c r="G241" s="1" t="s">
        <v>32</v>
      </c>
      <c r="H241" s="2">
        <v>45039</v>
      </c>
      <c r="I241" s="1" t="s">
        <v>1034</v>
      </c>
      <c r="J241" s="1" t="s">
        <v>1035</v>
      </c>
      <c r="K241" s="1" t="s">
        <v>902</v>
      </c>
      <c r="L241" s="1">
        <v>11938.33</v>
      </c>
      <c r="M241" s="1">
        <v>4</v>
      </c>
      <c r="N241" s="1">
        <v>0.2</v>
      </c>
      <c r="O241" s="1">
        <v>38202.660000000003</v>
      </c>
      <c r="P241" s="1">
        <v>7448.08</v>
      </c>
    </row>
    <row r="242" spans="1:16" x14ac:dyDescent="0.3">
      <c r="A242" s="1" t="s">
        <v>337</v>
      </c>
      <c r="B242" s="2">
        <v>45594</v>
      </c>
      <c r="C242" s="2" t="str">
        <f>TEXT(E_Commerce_data[[#This Row],[order_date]],"MMM")</f>
        <v>Oct</v>
      </c>
      <c r="D242" s="1" t="s">
        <v>338</v>
      </c>
      <c r="E242" s="1" t="s">
        <v>339</v>
      </c>
      <c r="F242" s="1" t="s">
        <v>93</v>
      </c>
      <c r="G242" s="1" t="s">
        <v>27</v>
      </c>
      <c r="H242" s="2">
        <v>45016</v>
      </c>
      <c r="I242" s="1" t="s">
        <v>315</v>
      </c>
      <c r="J242" s="1" t="s">
        <v>316</v>
      </c>
      <c r="K242" s="1" t="s">
        <v>22</v>
      </c>
      <c r="L242" s="1">
        <v>16937.37</v>
      </c>
      <c r="M242" s="1">
        <v>4</v>
      </c>
      <c r="N242" s="1">
        <v>0.1</v>
      </c>
      <c r="O242" s="1">
        <v>60974.53</v>
      </c>
      <c r="P242" s="1">
        <v>9614.94</v>
      </c>
    </row>
    <row r="243" spans="1:16" x14ac:dyDescent="0.3">
      <c r="A243" s="1" t="s">
        <v>1185</v>
      </c>
      <c r="B243" s="2">
        <v>45966</v>
      </c>
      <c r="C243" s="2" t="str">
        <f>TEXT(E_Commerce_data[[#This Row],[order_date]],"MMM")</f>
        <v>Nov</v>
      </c>
      <c r="D243" s="1" t="s">
        <v>16</v>
      </c>
      <c r="E243" s="1" t="s">
        <v>17</v>
      </c>
      <c r="F243" s="1" t="s">
        <v>18</v>
      </c>
      <c r="G243" s="1" t="s">
        <v>19</v>
      </c>
      <c r="H243" s="2">
        <v>44986</v>
      </c>
      <c r="I243" s="1" t="s">
        <v>1162</v>
      </c>
      <c r="J243" s="1" t="s">
        <v>1163</v>
      </c>
      <c r="K243" s="1" t="s">
        <v>902</v>
      </c>
      <c r="L243" s="1">
        <v>10751.13</v>
      </c>
      <c r="M243" s="1">
        <v>3</v>
      </c>
      <c r="N243" s="1">
        <v>0</v>
      </c>
      <c r="O243" s="1">
        <v>32253.39</v>
      </c>
      <c r="P243" s="1">
        <v>11075.28</v>
      </c>
    </row>
    <row r="244" spans="1:16" x14ac:dyDescent="0.3">
      <c r="A244" s="1" t="s">
        <v>982</v>
      </c>
      <c r="B244" s="2">
        <v>45994</v>
      </c>
      <c r="C244" s="2" t="str">
        <f>TEXT(E_Commerce_data[[#This Row],[order_date]],"MMM")</f>
        <v>Dec</v>
      </c>
      <c r="D244" s="1" t="s">
        <v>192</v>
      </c>
      <c r="E244" s="1" t="s">
        <v>193</v>
      </c>
      <c r="F244" s="1" t="s">
        <v>55</v>
      </c>
      <c r="G244" s="1" t="s">
        <v>27</v>
      </c>
      <c r="H244" s="2">
        <v>45448</v>
      </c>
      <c r="I244" s="1" t="s">
        <v>964</v>
      </c>
      <c r="J244" s="1" t="s">
        <v>965</v>
      </c>
      <c r="K244" s="1" t="s">
        <v>902</v>
      </c>
      <c r="L244" s="1">
        <v>3589.32</v>
      </c>
      <c r="M244" s="1">
        <v>4</v>
      </c>
      <c r="N244" s="1">
        <v>0</v>
      </c>
      <c r="O244" s="1">
        <v>14357.28</v>
      </c>
      <c r="P244" s="1">
        <v>752.74</v>
      </c>
    </row>
    <row r="245" spans="1:16" x14ac:dyDescent="0.3">
      <c r="A245" s="1" t="s">
        <v>721</v>
      </c>
      <c r="B245" s="2">
        <v>45585</v>
      </c>
      <c r="C245" s="2" t="str">
        <f>TEXT(E_Commerce_data[[#This Row],[order_date]],"MMM")</f>
        <v>Oct</v>
      </c>
      <c r="D245" s="1" t="s">
        <v>85</v>
      </c>
      <c r="E245" s="1" t="s">
        <v>86</v>
      </c>
      <c r="F245" s="1" t="s">
        <v>36</v>
      </c>
      <c r="G245" s="1" t="s">
        <v>32</v>
      </c>
      <c r="H245" s="2">
        <v>44957</v>
      </c>
      <c r="I245" s="1" t="s">
        <v>706</v>
      </c>
      <c r="J245" s="1" t="s">
        <v>707</v>
      </c>
      <c r="K245" s="1" t="s">
        <v>560</v>
      </c>
      <c r="L245" s="1">
        <v>31573.59</v>
      </c>
      <c r="M245" s="1">
        <v>1</v>
      </c>
      <c r="N245" s="1">
        <v>0.1</v>
      </c>
      <c r="O245" s="1">
        <v>28416.23</v>
      </c>
      <c r="P245" s="1">
        <v>7773.31</v>
      </c>
    </row>
    <row r="246" spans="1:16" x14ac:dyDescent="0.3">
      <c r="A246" s="1" t="s">
        <v>779</v>
      </c>
      <c r="B246" s="2">
        <v>45516</v>
      </c>
      <c r="C246" s="2" t="str">
        <f>TEXT(E_Commerce_data[[#This Row],[order_date]],"MMM")</f>
        <v>Aug</v>
      </c>
      <c r="D246" s="1" t="s">
        <v>287</v>
      </c>
      <c r="E246" s="1" t="s">
        <v>288</v>
      </c>
      <c r="F246" s="1" t="s">
        <v>18</v>
      </c>
      <c r="G246" s="1" t="s">
        <v>19</v>
      </c>
      <c r="H246" s="2">
        <v>44959</v>
      </c>
      <c r="I246" s="1" t="s">
        <v>763</v>
      </c>
      <c r="J246" s="1" t="s">
        <v>764</v>
      </c>
      <c r="K246" s="1" t="s">
        <v>560</v>
      </c>
      <c r="L246" s="1">
        <v>11485.64</v>
      </c>
      <c r="M246" s="1">
        <v>2</v>
      </c>
      <c r="N246" s="1">
        <v>0.1</v>
      </c>
      <c r="O246" s="1">
        <v>20674.150000000001</v>
      </c>
      <c r="P246" s="1">
        <v>6007.49</v>
      </c>
    </row>
    <row r="247" spans="1:16" x14ac:dyDescent="0.3">
      <c r="A247" s="1" t="s">
        <v>340</v>
      </c>
      <c r="B247" s="2">
        <v>45967</v>
      </c>
      <c r="C247" s="2" t="str">
        <f>TEXT(E_Commerce_data[[#This Row],[order_date]],"MMM")</f>
        <v>Nov</v>
      </c>
      <c r="D247" s="1" t="s">
        <v>341</v>
      </c>
      <c r="E247" s="1" t="s">
        <v>342</v>
      </c>
      <c r="F247" s="1" t="s">
        <v>93</v>
      </c>
      <c r="G247" s="1" t="s">
        <v>27</v>
      </c>
      <c r="H247" s="2">
        <v>45633</v>
      </c>
      <c r="I247" s="1" t="s">
        <v>315</v>
      </c>
      <c r="J247" s="1" t="s">
        <v>316</v>
      </c>
      <c r="K247" s="1" t="s">
        <v>22</v>
      </c>
      <c r="L247" s="1">
        <v>16937.37</v>
      </c>
      <c r="M247" s="1">
        <v>2</v>
      </c>
      <c r="N247" s="1">
        <v>0.1</v>
      </c>
      <c r="O247" s="1">
        <v>30487.27</v>
      </c>
      <c r="P247" s="1">
        <v>3816.64</v>
      </c>
    </row>
    <row r="248" spans="1:16" x14ac:dyDescent="0.3">
      <c r="A248" s="1" t="s">
        <v>1114</v>
      </c>
      <c r="B248" s="2">
        <v>45934</v>
      </c>
      <c r="C248" s="2" t="str">
        <f>TEXT(E_Commerce_data[[#This Row],[order_date]],"MMM")</f>
        <v>Oct</v>
      </c>
      <c r="D248" s="1" t="s">
        <v>91</v>
      </c>
      <c r="E248" s="1" t="s">
        <v>92</v>
      </c>
      <c r="F248" s="1" t="s">
        <v>93</v>
      </c>
      <c r="G248" s="1" t="s">
        <v>27</v>
      </c>
      <c r="H248" s="2">
        <v>45550</v>
      </c>
      <c r="I248" s="1" t="s">
        <v>1102</v>
      </c>
      <c r="J248" s="1" t="s">
        <v>1103</v>
      </c>
      <c r="K248" s="1" t="s">
        <v>902</v>
      </c>
      <c r="L248" s="1">
        <v>33465.440000000002</v>
      </c>
      <c r="M248" s="1">
        <v>2</v>
      </c>
      <c r="N248" s="1">
        <v>0.15</v>
      </c>
      <c r="O248" s="1">
        <v>56891.25</v>
      </c>
      <c r="P248" s="1">
        <v>4502.8999999999996</v>
      </c>
    </row>
    <row r="249" spans="1:16" x14ac:dyDescent="0.3">
      <c r="A249" s="1" t="s">
        <v>1053</v>
      </c>
      <c r="B249" s="2">
        <v>45326</v>
      </c>
      <c r="C249" s="2" t="str">
        <f>TEXT(E_Commerce_data[[#This Row],[order_date]],"MMM")</f>
        <v>Feb</v>
      </c>
      <c r="D249" s="1" t="s">
        <v>348</v>
      </c>
      <c r="E249" s="1" t="s">
        <v>349</v>
      </c>
      <c r="F249" s="1" t="s">
        <v>43</v>
      </c>
      <c r="G249" s="1" t="s">
        <v>32</v>
      </c>
      <c r="H249" s="2">
        <v>45332</v>
      </c>
      <c r="I249" s="1" t="s">
        <v>1034</v>
      </c>
      <c r="J249" s="1" t="s">
        <v>1035</v>
      </c>
      <c r="K249" s="1" t="s">
        <v>902</v>
      </c>
      <c r="L249" s="1">
        <v>11938.33</v>
      </c>
      <c r="M249" s="1">
        <v>1</v>
      </c>
      <c r="N249" s="1">
        <v>0</v>
      </c>
      <c r="O249" s="1">
        <v>11938.33</v>
      </c>
      <c r="P249" s="1">
        <v>3421.32</v>
      </c>
    </row>
    <row r="250" spans="1:16" x14ac:dyDescent="0.3">
      <c r="A250" s="1" t="s">
        <v>80</v>
      </c>
      <c r="B250" s="2">
        <v>45384</v>
      </c>
      <c r="C250" s="2" t="str">
        <f>TEXT(E_Commerce_data[[#This Row],[order_date]],"MMM")</f>
        <v>Apr</v>
      </c>
      <c r="D250" s="1" t="s">
        <v>66</v>
      </c>
      <c r="E250" s="1" t="s">
        <v>67</v>
      </c>
      <c r="F250" s="1" t="s">
        <v>18</v>
      </c>
      <c r="G250" s="1" t="s">
        <v>19</v>
      </c>
      <c r="H250" s="2">
        <v>45657</v>
      </c>
      <c r="I250" s="1" t="s">
        <v>20</v>
      </c>
      <c r="J250" s="1" t="s">
        <v>21</v>
      </c>
      <c r="K250" s="1" t="s">
        <v>22</v>
      </c>
      <c r="L250" s="1">
        <v>6094.16</v>
      </c>
      <c r="M250" s="1">
        <v>5</v>
      </c>
      <c r="N250" s="1">
        <v>0</v>
      </c>
      <c r="O250" s="1">
        <v>30470.799999999999</v>
      </c>
      <c r="P250" s="1">
        <v>8218.2199999999993</v>
      </c>
    </row>
    <row r="251" spans="1:16" x14ac:dyDescent="0.3">
      <c r="A251" s="1" t="s">
        <v>257</v>
      </c>
      <c r="B251" s="2">
        <v>45471</v>
      </c>
      <c r="C251" s="2" t="str">
        <f>TEXT(E_Commerce_data[[#This Row],[order_date]],"MMM")</f>
        <v>Jun</v>
      </c>
      <c r="D251" s="1" t="s">
        <v>70</v>
      </c>
      <c r="E251" s="1" t="s">
        <v>71</v>
      </c>
      <c r="F251" s="1" t="s">
        <v>72</v>
      </c>
      <c r="G251" s="1" t="s">
        <v>48</v>
      </c>
      <c r="H251" s="2">
        <v>45150</v>
      </c>
      <c r="I251" s="1" t="s">
        <v>215</v>
      </c>
      <c r="J251" s="1" t="s">
        <v>216</v>
      </c>
      <c r="K251" s="1" t="s">
        <v>22</v>
      </c>
      <c r="L251" s="1">
        <v>11273.63</v>
      </c>
      <c r="M251" s="1">
        <v>3</v>
      </c>
      <c r="N251" s="1">
        <v>0</v>
      </c>
      <c r="O251" s="1">
        <v>33820.89</v>
      </c>
      <c r="P251" s="1">
        <v>9275.18</v>
      </c>
    </row>
    <row r="252" spans="1:16" x14ac:dyDescent="0.3">
      <c r="A252" s="1" t="s">
        <v>780</v>
      </c>
      <c r="B252" s="2">
        <v>45666</v>
      </c>
      <c r="C252" s="2" t="str">
        <f>TEXT(E_Commerce_data[[#This Row],[order_date]],"MMM")</f>
        <v>Jan</v>
      </c>
      <c r="D252" s="1" t="s">
        <v>324</v>
      </c>
      <c r="E252" s="1" t="s">
        <v>325</v>
      </c>
      <c r="F252" s="1" t="s">
        <v>55</v>
      </c>
      <c r="G252" s="1" t="s">
        <v>27</v>
      </c>
      <c r="H252" s="2">
        <v>45473</v>
      </c>
      <c r="I252" s="1" t="s">
        <v>763</v>
      </c>
      <c r="J252" s="1" t="s">
        <v>764</v>
      </c>
      <c r="K252" s="1" t="s">
        <v>560</v>
      </c>
      <c r="L252" s="1">
        <v>11485.64</v>
      </c>
      <c r="M252" s="1">
        <v>2</v>
      </c>
      <c r="N252" s="1">
        <v>0</v>
      </c>
      <c r="O252" s="1">
        <v>22971.279999999999</v>
      </c>
      <c r="P252" s="1">
        <v>6568.73</v>
      </c>
    </row>
    <row r="253" spans="1:16" x14ac:dyDescent="0.3">
      <c r="A253" s="1" t="s">
        <v>846</v>
      </c>
      <c r="B253" s="2">
        <v>45460</v>
      </c>
      <c r="C253" s="2" t="str">
        <f>TEXT(E_Commerce_data[[#This Row],[order_date]],"MMM")</f>
        <v>Jun</v>
      </c>
      <c r="D253" s="1" t="s">
        <v>266</v>
      </c>
      <c r="E253" s="1" t="s">
        <v>267</v>
      </c>
      <c r="F253" s="1" t="s">
        <v>72</v>
      </c>
      <c r="G253" s="1" t="s">
        <v>48</v>
      </c>
      <c r="H253" s="2">
        <v>45316</v>
      </c>
      <c r="I253" s="1" t="s">
        <v>822</v>
      </c>
      <c r="J253" s="1" t="s">
        <v>823</v>
      </c>
      <c r="K253" s="1" t="s">
        <v>560</v>
      </c>
      <c r="L253" s="1">
        <v>45275.73</v>
      </c>
      <c r="M253" s="1">
        <v>5</v>
      </c>
      <c r="N253" s="1">
        <v>0.1</v>
      </c>
      <c r="O253" s="1">
        <v>203740.79</v>
      </c>
      <c r="P253" s="1">
        <v>66021.41</v>
      </c>
    </row>
    <row r="254" spans="1:16" x14ac:dyDescent="0.3">
      <c r="A254" s="1" t="s">
        <v>578</v>
      </c>
      <c r="B254" s="2">
        <v>45594</v>
      </c>
      <c r="C254" s="2" t="str">
        <f>TEXT(E_Commerce_data[[#This Row],[order_date]],"MMM")</f>
        <v>Oct</v>
      </c>
      <c r="D254" s="1" t="s">
        <v>91</v>
      </c>
      <c r="E254" s="1" t="s">
        <v>92</v>
      </c>
      <c r="F254" s="1" t="s">
        <v>93</v>
      </c>
      <c r="G254" s="1" t="s">
        <v>27</v>
      </c>
      <c r="H254" s="2">
        <v>45550</v>
      </c>
      <c r="I254" s="1" t="s">
        <v>558</v>
      </c>
      <c r="J254" s="1" t="s">
        <v>559</v>
      </c>
      <c r="K254" s="1" t="s">
        <v>560</v>
      </c>
      <c r="L254" s="1">
        <v>11049.86</v>
      </c>
      <c r="M254" s="1">
        <v>3</v>
      </c>
      <c r="N254" s="1">
        <v>0.2</v>
      </c>
      <c r="O254" s="1">
        <v>26519.66</v>
      </c>
      <c r="P254" s="1">
        <v>8837.84</v>
      </c>
    </row>
    <row r="255" spans="1:16" x14ac:dyDescent="0.3">
      <c r="A255" s="1" t="s">
        <v>1186</v>
      </c>
      <c r="B255" s="2">
        <v>45369</v>
      </c>
      <c r="C255" s="2" t="str">
        <f>TEXT(E_Commerce_data[[#This Row],[order_date]],"MMM")</f>
        <v>Mar</v>
      </c>
      <c r="D255" s="1" t="s">
        <v>186</v>
      </c>
      <c r="E255" s="1" t="s">
        <v>187</v>
      </c>
      <c r="F255" s="1" t="s">
        <v>26</v>
      </c>
      <c r="G255" s="1" t="s">
        <v>27</v>
      </c>
      <c r="H255" s="2">
        <v>45493</v>
      </c>
      <c r="I255" s="1" t="s">
        <v>1162</v>
      </c>
      <c r="J255" s="1" t="s">
        <v>1163</v>
      </c>
      <c r="K255" s="1" t="s">
        <v>902</v>
      </c>
      <c r="L255" s="1">
        <v>10751.13</v>
      </c>
      <c r="M255" s="1">
        <v>3</v>
      </c>
      <c r="N255" s="1">
        <v>0.2</v>
      </c>
      <c r="O255" s="1">
        <v>25802.71</v>
      </c>
      <c r="P255" s="1">
        <v>2181.64</v>
      </c>
    </row>
    <row r="256" spans="1:16" x14ac:dyDescent="0.3">
      <c r="A256" s="1" t="s">
        <v>983</v>
      </c>
      <c r="B256" s="2">
        <v>45984</v>
      </c>
      <c r="C256" s="2" t="str">
        <f>TEXT(E_Commerce_data[[#This Row],[order_date]],"MMM")</f>
        <v>Nov</v>
      </c>
      <c r="D256" s="1" t="s">
        <v>248</v>
      </c>
      <c r="E256" s="1" t="s">
        <v>249</v>
      </c>
      <c r="F256" s="1" t="s">
        <v>72</v>
      </c>
      <c r="G256" s="1" t="s">
        <v>48</v>
      </c>
      <c r="H256" s="2">
        <v>45619</v>
      </c>
      <c r="I256" s="1" t="s">
        <v>964</v>
      </c>
      <c r="J256" s="1" t="s">
        <v>965</v>
      </c>
      <c r="K256" s="1" t="s">
        <v>902</v>
      </c>
      <c r="L256" s="1">
        <v>3589.32</v>
      </c>
      <c r="M256" s="1">
        <v>2</v>
      </c>
      <c r="N256" s="1">
        <v>0.2</v>
      </c>
      <c r="O256" s="1">
        <v>5742.91</v>
      </c>
      <c r="P256" s="1">
        <v>1952.3</v>
      </c>
    </row>
    <row r="257" spans="1:16" x14ac:dyDescent="0.3">
      <c r="A257" s="1" t="s">
        <v>343</v>
      </c>
      <c r="B257" s="2">
        <v>45666</v>
      </c>
      <c r="C257" s="2" t="str">
        <f>TEXT(E_Commerce_data[[#This Row],[order_date]],"MMM")</f>
        <v>Jan</v>
      </c>
      <c r="D257" s="1" t="s">
        <v>344</v>
      </c>
      <c r="E257" s="1" t="s">
        <v>345</v>
      </c>
      <c r="F257" s="1" t="s">
        <v>93</v>
      </c>
      <c r="G257" s="1" t="s">
        <v>27</v>
      </c>
      <c r="H257" s="2">
        <v>45356</v>
      </c>
      <c r="I257" s="1" t="s">
        <v>315</v>
      </c>
      <c r="J257" s="1" t="s">
        <v>316</v>
      </c>
      <c r="K257" s="1" t="s">
        <v>22</v>
      </c>
      <c r="L257" s="1">
        <v>16937.37</v>
      </c>
      <c r="M257" s="1">
        <v>4</v>
      </c>
      <c r="N257" s="1">
        <v>0.2</v>
      </c>
      <c r="O257" s="1">
        <v>54199.58</v>
      </c>
      <c r="P257" s="1">
        <v>15792.47</v>
      </c>
    </row>
    <row r="258" spans="1:16" x14ac:dyDescent="0.3">
      <c r="A258" s="1" t="s">
        <v>913</v>
      </c>
      <c r="B258" s="2">
        <v>45562</v>
      </c>
      <c r="C258" s="2" t="str">
        <f>TEXT(E_Commerce_data[[#This Row],[order_date]],"MMM")</f>
        <v>Sep</v>
      </c>
      <c r="D258" s="1" t="s">
        <v>179</v>
      </c>
      <c r="E258" s="1" t="s">
        <v>180</v>
      </c>
      <c r="F258" s="1" t="s">
        <v>47</v>
      </c>
      <c r="G258" s="1" t="s">
        <v>48</v>
      </c>
      <c r="H258" s="2">
        <v>45337</v>
      </c>
      <c r="I258" s="1" t="s">
        <v>900</v>
      </c>
      <c r="J258" s="1" t="s">
        <v>901</v>
      </c>
      <c r="K258" s="1" t="s">
        <v>902</v>
      </c>
      <c r="L258" s="1">
        <v>42988.79</v>
      </c>
      <c r="M258" s="1">
        <v>1</v>
      </c>
      <c r="N258" s="1">
        <v>0.2</v>
      </c>
      <c r="O258" s="1">
        <v>34391.03</v>
      </c>
      <c r="P258" s="1">
        <v>5790.5</v>
      </c>
    </row>
    <row r="259" spans="1:16" x14ac:dyDescent="0.3">
      <c r="A259" s="1" t="s">
        <v>81</v>
      </c>
      <c r="B259" s="2">
        <v>45980</v>
      </c>
      <c r="C259" s="2" t="str">
        <f>TEXT(E_Commerce_data[[#This Row],[order_date]],"MMM")</f>
        <v>Nov</v>
      </c>
      <c r="D259" s="1" t="s">
        <v>82</v>
      </c>
      <c r="E259" s="1" t="s">
        <v>83</v>
      </c>
      <c r="F259" s="1" t="s">
        <v>47</v>
      </c>
      <c r="G259" s="1" t="s">
        <v>48</v>
      </c>
      <c r="H259" s="2">
        <v>45279</v>
      </c>
      <c r="I259" s="1" t="s">
        <v>20</v>
      </c>
      <c r="J259" s="1" t="s">
        <v>21</v>
      </c>
      <c r="K259" s="1" t="s">
        <v>22</v>
      </c>
      <c r="L259" s="1">
        <v>6094.16</v>
      </c>
      <c r="M259" s="1">
        <v>5</v>
      </c>
      <c r="N259" s="1">
        <v>0</v>
      </c>
      <c r="O259" s="1">
        <v>30470.799999999999</v>
      </c>
      <c r="P259" s="1">
        <v>5680.85</v>
      </c>
    </row>
    <row r="260" spans="1:16" x14ac:dyDescent="0.3">
      <c r="A260" s="1" t="s">
        <v>1115</v>
      </c>
      <c r="B260" s="2">
        <v>45945</v>
      </c>
      <c r="C260" s="2" t="str">
        <f>TEXT(E_Commerce_data[[#This Row],[order_date]],"MMM")</f>
        <v>Oct</v>
      </c>
      <c r="D260" s="1" t="s">
        <v>329</v>
      </c>
      <c r="E260" s="1" t="s">
        <v>330</v>
      </c>
      <c r="F260" s="1" t="s">
        <v>31</v>
      </c>
      <c r="G260" s="1" t="s">
        <v>32</v>
      </c>
      <c r="H260" s="2">
        <v>45275</v>
      </c>
      <c r="I260" s="1" t="s">
        <v>1102</v>
      </c>
      <c r="J260" s="1" t="s">
        <v>1103</v>
      </c>
      <c r="K260" s="1" t="s">
        <v>902</v>
      </c>
      <c r="L260" s="1">
        <v>33465.440000000002</v>
      </c>
      <c r="M260" s="1">
        <v>3</v>
      </c>
      <c r="N260" s="1">
        <v>0.1</v>
      </c>
      <c r="O260" s="1">
        <v>90356.69</v>
      </c>
      <c r="P260" s="1">
        <v>14846.3</v>
      </c>
    </row>
    <row r="261" spans="1:16" x14ac:dyDescent="0.3">
      <c r="A261" s="1" t="s">
        <v>984</v>
      </c>
      <c r="B261" s="2">
        <v>45774</v>
      </c>
      <c r="C261" s="2" t="str">
        <f>TEXT(E_Commerce_data[[#This Row],[order_date]],"MMM")</f>
        <v>Apr</v>
      </c>
      <c r="D261" s="1" t="s">
        <v>415</v>
      </c>
      <c r="E261" s="1" t="s">
        <v>416</v>
      </c>
      <c r="F261" s="1" t="s">
        <v>26</v>
      </c>
      <c r="G261" s="1" t="s">
        <v>27</v>
      </c>
      <c r="H261" s="2">
        <v>45177</v>
      </c>
      <c r="I261" s="1" t="s">
        <v>964</v>
      </c>
      <c r="J261" s="1" t="s">
        <v>965</v>
      </c>
      <c r="K261" s="1" t="s">
        <v>902</v>
      </c>
      <c r="L261" s="1">
        <v>3589.32</v>
      </c>
      <c r="M261" s="1">
        <v>3</v>
      </c>
      <c r="N261" s="1">
        <v>0</v>
      </c>
      <c r="O261" s="1">
        <v>10767.96</v>
      </c>
      <c r="P261" s="1">
        <v>2718.38</v>
      </c>
    </row>
    <row r="262" spans="1:16" x14ac:dyDescent="0.3">
      <c r="A262" s="1" t="s">
        <v>985</v>
      </c>
      <c r="B262" s="2">
        <v>45866</v>
      </c>
      <c r="C262" s="2" t="str">
        <f>TEXT(E_Commerce_data[[#This Row],[order_date]],"MMM")</f>
        <v>Jul</v>
      </c>
      <c r="D262" s="1" t="s">
        <v>263</v>
      </c>
      <c r="E262" s="1" t="s">
        <v>264</v>
      </c>
      <c r="F262" s="1" t="s">
        <v>36</v>
      </c>
      <c r="G262" s="1" t="s">
        <v>32</v>
      </c>
      <c r="H262" s="2">
        <v>45397</v>
      </c>
      <c r="I262" s="1" t="s">
        <v>964</v>
      </c>
      <c r="J262" s="1" t="s">
        <v>965</v>
      </c>
      <c r="K262" s="1" t="s">
        <v>902</v>
      </c>
      <c r="L262" s="1">
        <v>3589.32</v>
      </c>
      <c r="M262" s="1">
        <v>1</v>
      </c>
      <c r="N262" s="1">
        <v>0.1</v>
      </c>
      <c r="O262" s="1">
        <v>3230.39</v>
      </c>
      <c r="P262" s="1">
        <v>1018.45</v>
      </c>
    </row>
    <row r="263" spans="1:16" x14ac:dyDescent="0.3">
      <c r="A263" s="1" t="s">
        <v>781</v>
      </c>
      <c r="B263" s="2">
        <v>45356</v>
      </c>
      <c r="C263" s="2" t="str">
        <f>TEXT(E_Commerce_data[[#This Row],[order_date]],"MMM")</f>
        <v>Mar</v>
      </c>
      <c r="D263" s="1" t="s">
        <v>252</v>
      </c>
      <c r="E263" s="1" t="s">
        <v>253</v>
      </c>
      <c r="F263" s="1" t="s">
        <v>72</v>
      </c>
      <c r="G263" s="1" t="s">
        <v>48</v>
      </c>
      <c r="H263" s="2">
        <v>44973</v>
      </c>
      <c r="I263" s="1" t="s">
        <v>763</v>
      </c>
      <c r="J263" s="1" t="s">
        <v>764</v>
      </c>
      <c r="K263" s="1" t="s">
        <v>560</v>
      </c>
      <c r="L263" s="1">
        <v>11485.64</v>
      </c>
      <c r="M263" s="1">
        <v>3</v>
      </c>
      <c r="N263" s="1">
        <v>0.1</v>
      </c>
      <c r="O263" s="1">
        <v>31011.23</v>
      </c>
      <c r="P263" s="1">
        <v>3610.02</v>
      </c>
    </row>
    <row r="264" spans="1:16" x14ac:dyDescent="0.3">
      <c r="A264" s="1" t="s">
        <v>782</v>
      </c>
      <c r="B264" s="2">
        <v>45710</v>
      </c>
      <c r="C264" s="2" t="str">
        <f>TEXT(E_Commerce_data[[#This Row],[order_date]],"MMM")</f>
        <v>Feb</v>
      </c>
      <c r="D264" s="1" t="s">
        <v>147</v>
      </c>
      <c r="E264" s="1" t="s">
        <v>148</v>
      </c>
      <c r="F264" s="1" t="s">
        <v>36</v>
      </c>
      <c r="G264" s="1" t="s">
        <v>32</v>
      </c>
      <c r="H264" s="2">
        <v>45090</v>
      </c>
      <c r="I264" s="1" t="s">
        <v>763</v>
      </c>
      <c r="J264" s="1" t="s">
        <v>764</v>
      </c>
      <c r="K264" s="1" t="s">
        <v>560</v>
      </c>
      <c r="L264" s="1">
        <v>11485.64</v>
      </c>
      <c r="M264" s="1">
        <v>4</v>
      </c>
      <c r="N264" s="1">
        <v>0.15</v>
      </c>
      <c r="O264" s="1">
        <v>39051.18</v>
      </c>
      <c r="P264" s="1">
        <v>5492.82</v>
      </c>
    </row>
    <row r="265" spans="1:16" x14ac:dyDescent="0.3">
      <c r="A265" s="1" t="s">
        <v>1054</v>
      </c>
      <c r="B265" s="2">
        <v>45330</v>
      </c>
      <c r="C265" s="2" t="str">
        <f>TEXT(E_Commerce_data[[#This Row],[order_date]],"MMM")</f>
        <v>Feb</v>
      </c>
      <c r="D265" s="1" t="s">
        <v>287</v>
      </c>
      <c r="E265" s="1" t="s">
        <v>288</v>
      </c>
      <c r="F265" s="1" t="s">
        <v>18</v>
      </c>
      <c r="G265" s="1" t="s">
        <v>19</v>
      </c>
      <c r="H265" s="2">
        <v>44959</v>
      </c>
      <c r="I265" s="1" t="s">
        <v>1034</v>
      </c>
      <c r="J265" s="1" t="s">
        <v>1035</v>
      </c>
      <c r="K265" s="1" t="s">
        <v>902</v>
      </c>
      <c r="L265" s="1">
        <v>11938.33</v>
      </c>
      <c r="M265" s="1">
        <v>1</v>
      </c>
      <c r="N265" s="1">
        <v>0</v>
      </c>
      <c r="O265" s="1">
        <v>11938.33</v>
      </c>
      <c r="P265" s="1">
        <v>759.33</v>
      </c>
    </row>
    <row r="266" spans="1:16" x14ac:dyDescent="0.3">
      <c r="A266" s="1" t="s">
        <v>986</v>
      </c>
      <c r="B266" s="2">
        <v>45532</v>
      </c>
      <c r="C266" s="2" t="str">
        <f>TEXT(E_Commerce_data[[#This Row],[order_date]],"MMM")</f>
        <v>Aug</v>
      </c>
      <c r="D266" s="1" t="s">
        <v>129</v>
      </c>
      <c r="E266" s="1" t="s">
        <v>130</v>
      </c>
      <c r="F266" s="1" t="s">
        <v>72</v>
      </c>
      <c r="G266" s="1" t="s">
        <v>48</v>
      </c>
      <c r="H266" s="2">
        <v>45021</v>
      </c>
      <c r="I266" s="1" t="s">
        <v>964</v>
      </c>
      <c r="J266" s="1" t="s">
        <v>965</v>
      </c>
      <c r="K266" s="1" t="s">
        <v>902</v>
      </c>
      <c r="L266" s="1">
        <v>3589.32</v>
      </c>
      <c r="M266" s="1">
        <v>3</v>
      </c>
      <c r="N266" s="1">
        <v>0.05</v>
      </c>
      <c r="O266" s="1">
        <v>10229.56</v>
      </c>
      <c r="P266" s="1">
        <v>867.84</v>
      </c>
    </row>
    <row r="267" spans="1:16" x14ac:dyDescent="0.3">
      <c r="A267" s="1" t="s">
        <v>722</v>
      </c>
      <c r="B267" s="2">
        <v>45671</v>
      </c>
      <c r="C267" s="2" t="str">
        <f>TEXT(E_Commerce_data[[#This Row],[order_date]],"MMM")</f>
        <v>Jan</v>
      </c>
      <c r="D267" s="1" t="s">
        <v>449</v>
      </c>
      <c r="E267" s="1" t="s">
        <v>450</v>
      </c>
      <c r="F267" s="1" t="s">
        <v>93</v>
      </c>
      <c r="G267" s="1" t="s">
        <v>27</v>
      </c>
      <c r="H267" s="2">
        <v>45035</v>
      </c>
      <c r="I267" s="1" t="s">
        <v>706</v>
      </c>
      <c r="J267" s="1" t="s">
        <v>707</v>
      </c>
      <c r="K267" s="1" t="s">
        <v>560</v>
      </c>
      <c r="L267" s="1">
        <v>31573.59</v>
      </c>
      <c r="M267" s="1">
        <v>5</v>
      </c>
      <c r="N267" s="1">
        <v>0</v>
      </c>
      <c r="O267" s="1">
        <v>157867.95000000001</v>
      </c>
      <c r="P267" s="1">
        <v>26299.81</v>
      </c>
    </row>
    <row r="268" spans="1:16" x14ac:dyDescent="0.3">
      <c r="A268" s="1" t="s">
        <v>1187</v>
      </c>
      <c r="B268" s="2">
        <v>45450</v>
      </c>
      <c r="C268" s="2" t="str">
        <f>TEXT(E_Commerce_data[[#This Row],[order_date]],"MMM")</f>
        <v>Jun</v>
      </c>
      <c r="D268" s="1" t="s">
        <v>269</v>
      </c>
      <c r="E268" s="1" t="s">
        <v>270</v>
      </c>
      <c r="F268" s="1" t="s">
        <v>18</v>
      </c>
      <c r="G268" s="1" t="s">
        <v>19</v>
      </c>
      <c r="H268" s="2">
        <v>45271</v>
      </c>
      <c r="I268" s="1" t="s">
        <v>1162</v>
      </c>
      <c r="J268" s="1" t="s">
        <v>1163</v>
      </c>
      <c r="K268" s="1" t="s">
        <v>902</v>
      </c>
      <c r="L268" s="1">
        <v>10751.13</v>
      </c>
      <c r="M268" s="1">
        <v>5</v>
      </c>
      <c r="N268" s="1">
        <v>0.05</v>
      </c>
      <c r="O268" s="1">
        <v>51067.87</v>
      </c>
      <c r="P268" s="1">
        <v>11551.66</v>
      </c>
    </row>
    <row r="269" spans="1:16" x14ac:dyDescent="0.3">
      <c r="A269" s="1" t="s">
        <v>651</v>
      </c>
      <c r="B269" s="2">
        <v>45793</v>
      </c>
      <c r="C269" s="2" t="str">
        <f>TEXT(E_Commerce_data[[#This Row],[order_date]],"MMM")</f>
        <v>May</v>
      </c>
      <c r="D269" s="1" t="s">
        <v>564</v>
      </c>
      <c r="E269" s="1" t="s">
        <v>565</v>
      </c>
      <c r="F269" s="1" t="s">
        <v>55</v>
      </c>
      <c r="G269" s="1" t="s">
        <v>27</v>
      </c>
      <c r="H269" s="2">
        <v>45569</v>
      </c>
      <c r="I269" s="1" t="s">
        <v>633</v>
      </c>
      <c r="J269" s="1" t="s">
        <v>634</v>
      </c>
      <c r="K269" s="1" t="s">
        <v>560</v>
      </c>
      <c r="L269" s="1">
        <v>3596.1</v>
      </c>
      <c r="M269" s="1">
        <v>4</v>
      </c>
      <c r="N269" s="1">
        <v>0.15</v>
      </c>
      <c r="O269" s="1">
        <v>12226.74</v>
      </c>
      <c r="P269" s="1">
        <v>974.55</v>
      </c>
    </row>
    <row r="270" spans="1:16" x14ac:dyDescent="0.3">
      <c r="A270" s="1" t="s">
        <v>579</v>
      </c>
      <c r="B270" s="2">
        <v>45578</v>
      </c>
      <c r="C270" s="2" t="str">
        <f>TEXT(E_Commerce_data[[#This Row],[order_date]],"MMM")</f>
        <v>Oct</v>
      </c>
      <c r="D270" s="1" t="s">
        <v>206</v>
      </c>
      <c r="E270" s="1" t="s">
        <v>207</v>
      </c>
      <c r="F270" s="1" t="s">
        <v>72</v>
      </c>
      <c r="G270" s="1" t="s">
        <v>48</v>
      </c>
      <c r="H270" s="2">
        <v>45625</v>
      </c>
      <c r="I270" s="1" t="s">
        <v>558</v>
      </c>
      <c r="J270" s="1" t="s">
        <v>559</v>
      </c>
      <c r="K270" s="1" t="s">
        <v>560</v>
      </c>
      <c r="L270" s="1">
        <v>11049.86</v>
      </c>
      <c r="M270" s="1">
        <v>5</v>
      </c>
      <c r="N270" s="1">
        <v>0.05</v>
      </c>
      <c r="O270" s="1">
        <v>52486.84</v>
      </c>
      <c r="P270" s="1">
        <v>17410.72</v>
      </c>
    </row>
    <row r="271" spans="1:16" x14ac:dyDescent="0.3">
      <c r="A271" s="1" t="s">
        <v>914</v>
      </c>
      <c r="B271" s="2">
        <v>45746</v>
      </c>
      <c r="C271" s="2" t="str">
        <f>TEXT(E_Commerce_data[[#This Row],[order_date]],"MMM")</f>
        <v>Mar</v>
      </c>
      <c r="D271" s="1" t="s">
        <v>287</v>
      </c>
      <c r="E271" s="1" t="s">
        <v>288</v>
      </c>
      <c r="F271" s="1" t="s">
        <v>18</v>
      </c>
      <c r="G271" s="1" t="s">
        <v>19</v>
      </c>
      <c r="H271" s="2">
        <v>44959</v>
      </c>
      <c r="I271" s="1" t="s">
        <v>900</v>
      </c>
      <c r="J271" s="1" t="s">
        <v>901</v>
      </c>
      <c r="K271" s="1" t="s">
        <v>902</v>
      </c>
      <c r="L271" s="1">
        <v>42988.79</v>
      </c>
      <c r="M271" s="1">
        <v>1</v>
      </c>
      <c r="N271" s="1">
        <v>0.15</v>
      </c>
      <c r="O271" s="1">
        <v>36540.47</v>
      </c>
      <c r="P271" s="1">
        <v>5888.83</v>
      </c>
    </row>
    <row r="272" spans="1:16" x14ac:dyDescent="0.3">
      <c r="A272" s="1" t="s">
        <v>509</v>
      </c>
      <c r="B272" s="2">
        <v>45393</v>
      </c>
      <c r="C272" s="2" t="str">
        <f>TEXT(E_Commerce_data[[#This Row],[order_date]],"MMM")</f>
        <v>Apr</v>
      </c>
      <c r="D272" s="1" t="s">
        <v>50</v>
      </c>
      <c r="E272" s="1" t="s">
        <v>51</v>
      </c>
      <c r="F272" s="1" t="s">
        <v>47</v>
      </c>
      <c r="G272" s="1" t="s">
        <v>48</v>
      </c>
      <c r="H272" s="2">
        <v>45041</v>
      </c>
      <c r="I272" s="1" t="s">
        <v>489</v>
      </c>
      <c r="J272" s="1" t="s">
        <v>490</v>
      </c>
      <c r="K272" s="1" t="s">
        <v>22</v>
      </c>
      <c r="L272" s="1">
        <v>11544.23</v>
      </c>
      <c r="M272" s="1">
        <v>4</v>
      </c>
      <c r="N272" s="1">
        <v>0</v>
      </c>
      <c r="O272" s="1">
        <v>46176.92</v>
      </c>
      <c r="P272" s="1">
        <v>14159.46</v>
      </c>
    </row>
    <row r="273" spans="1:16" x14ac:dyDescent="0.3">
      <c r="A273" s="1" t="s">
        <v>1055</v>
      </c>
      <c r="B273" s="2">
        <v>45952</v>
      </c>
      <c r="C273" s="2" t="str">
        <f>TEXT(E_Commerce_data[[#This Row],[order_date]],"MMM")</f>
        <v>Oct</v>
      </c>
      <c r="D273" s="1" t="s">
        <v>78</v>
      </c>
      <c r="E273" s="1" t="s">
        <v>79</v>
      </c>
      <c r="F273" s="1" t="s">
        <v>76</v>
      </c>
      <c r="G273" s="1" t="s">
        <v>32</v>
      </c>
      <c r="H273" s="2">
        <v>45365</v>
      </c>
      <c r="I273" s="1" t="s">
        <v>1034</v>
      </c>
      <c r="J273" s="1" t="s">
        <v>1035</v>
      </c>
      <c r="K273" s="1" t="s">
        <v>902</v>
      </c>
      <c r="L273" s="1">
        <v>11938.33</v>
      </c>
      <c r="M273" s="1">
        <v>3</v>
      </c>
      <c r="N273" s="1">
        <v>0.1</v>
      </c>
      <c r="O273" s="1">
        <v>32233.49</v>
      </c>
      <c r="P273" s="1">
        <v>10331.120000000001</v>
      </c>
    </row>
    <row r="274" spans="1:16" x14ac:dyDescent="0.3">
      <c r="A274" s="1" t="s">
        <v>1188</v>
      </c>
      <c r="B274" s="2">
        <v>45486</v>
      </c>
      <c r="C274" s="2" t="str">
        <f>TEXT(E_Commerce_data[[#This Row],[order_date]],"MMM")</f>
        <v>Jul</v>
      </c>
      <c r="D274" s="1" t="s">
        <v>135</v>
      </c>
      <c r="E274" s="1" t="s">
        <v>136</v>
      </c>
      <c r="F274" s="1" t="s">
        <v>31</v>
      </c>
      <c r="G274" s="1" t="s">
        <v>32</v>
      </c>
      <c r="H274" s="2">
        <v>45537</v>
      </c>
      <c r="I274" s="1" t="s">
        <v>1162</v>
      </c>
      <c r="J274" s="1" t="s">
        <v>1163</v>
      </c>
      <c r="K274" s="1" t="s">
        <v>902</v>
      </c>
      <c r="L274" s="1">
        <v>10751.13</v>
      </c>
      <c r="M274" s="1">
        <v>3</v>
      </c>
      <c r="N274" s="1">
        <v>0</v>
      </c>
      <c r="O274" s="1">
        <v>32253.39</v>
      </c>
      <c r="P274" s="1">
        <v>5465.08</v>
      </c>
    </row>
    <row r="275" spans="1:16" x14ac:dyDescent="0.3">
      <c r="A275" s="1" t="s">
        <v>580</v>
      </c>
      <c r="B275" s="2">
        <v>45385</v>
      </c>
      <c r="C275" s="2" t="str">
        <f>TEXT(E_Commerce_data[[#This Row],[order_date]],"MMM")</f>
        <v>Apr</v>
      </c>
      <c r="D275" s="1" t="s">
        <v>109</v>
      </c>
      <c r="E275" s="1" t="s">
        <v>110</v>
      </c>
      <c r="F275" s="1" t="s">
        <v>31</v>
      </c>
      <c r="G275" s="1" t="s">
        <v>32</v>
      </c>
      <c r="H275" s="2">
        <v>45026</v>
      </c>
      <c r="I275" s="1" t="s">
        <v>558</v>
      </c>
      <c r="J275" s="1" t="s">
        <v>559</v>
      </c>
      <c r="K275" s="1" t="s">
        <v>560</v>
      </c>
      <c r="L275" s="1">
        <v>11049.86</v>
      </c>
      <c r="M275" s="1">
        <v>1</v>
      </c>
      <c r="N275" s="1">
        <v>0.2</v>
      </c>
      <c r="O275" s="1">
        <v>8839.89</v>
      </c>
      <c r="P275" s="1">
        <v>2627.72</v>
      </c>
    </row>
    <row r="276" spans="1:16" x14ac:dyDescent="0.3">
      <c r="A276" s="1" t="s">
        <v>1116</v>
      </c>
      <c r="B276" s="2">
        <v>45313</v>
      </c>
      <c r="C276" s="2" t="str">
        <f>TEXT(E_Commerce_data[[#This Row],[order_date]],"MMM")</f>
        <v>Jan</v>
      </c>
      <c r="D276" s="1" t="s">
        <v>147</v>
      </c>
      <c r="E276" s="1" t="s">
        <v>148</v>
      </c>
      <c r="F276" s="1" t="s">
        <v>36</v>
      </c>
      <c r="G276" s="1" t="s">
        <v>32</v>
      </c>
      <c r="H276" s="2">
        <v>45090</v>
      </c>
      <c r="I276" s="1" t="s">
        <v>1102</v>
      </c>
      <c r="J276" s="1" t="s">
        <v>1103</v>
      </c>
      <c r="K276" s="1" t="s">
        <v>902</v>
      </c>
      <c r="L276" s="1">
        <v>33465.440000000002</v>
      </c>
      <c r="M276" s="1">
        <v>2</v>
      </c>
      <c r="N276" s="1">
        <v>0.15</v>
      </c>
      <c r="O276" s="1">
        <v>56891.25</v>
      </c>
      <c r="P276" s="1">
        <v>13759.03</v>
      </c>
    </row>
    <row r="277" spans="1:16" x14ac:dyDescent="0.3">
      <c r="A277" s="1" t="s">
        <v>915</v>
      </c>
      <c r="B277" s="2">
        <v>45420</v>
      </c>
      <c r="C277" s="2" t="str">
        <f>TEXT(E_Commerce_data[[#This Row],[order_date]],"MMM")</f>
        <v>May</v>
      </c>
      <c r="D277" s="1" t="s">
        <v>99</v>
      </c>
      <c r="E277" s="1" t="s">
        <v>100</v>
      </c>
      <c r="F277" s="1" t="s">
        <v>43</v>
      </c>
      <c r="G277" s="1" t="s">
        <v>32</v>
      </c>
      <c r="H277" s="2">
        <v>45468</v>
      </c>
      <c r="I277" s="1" t="s">
        <v>900</v>
      </c>
      <c r="J277" s="1" t="s">
        <v>901</v>
      </c>
      <c r="K277" s="1" t="s">
        <v>902</v>
      </c>
      <c r="L277" s="1">
        <v>42988.79</v>
      </c>
      <c r="M277" s="1">
        <v>1</v>
      </c>
      <c r="N277" s="1">
        <v>0.2</v>
      </c>
      <c r="O277" s="1">
        <v>34391.03</v>
      </c>
      <c r="P277" s="1">
        <v>5160.47</v>
      </c>
    </row>
    <row r="278" spans="1:16" x14ac:dyDescent="0.3">
      <c r="A278" s="1" t="s">
        <v>847</v>
      </c>
      <c r="B278" s="2">
        <v>45859</v>
      </c>
      <c r="C278" s="2" t="str">
        <f>TEXT(E_Commerce_data[[#This Row],[order_date]],"MMM")</f>
        <v>Jul</v>
      </c>
      <c r="D278" s="1" t="s">
        <v>348</v>
      </c>
      <c r="E278" s="1" t="s">
        <v>349</v>
      </c>
      <c r="F278" s="1" t="s">
        <v>43</v>
      </c>
      <c r="G278" s="1" t="s">
        <v>32</v>
      </c>
      <c r="H278" s="2">
        <v>45332</v>
      </c>
      <c r="I278" s="1" t="s">
        <v>822</v>
      </c>
      <c r="J278" s="1" t="s">
        <v>823</v>
      </c>
      <c r="K278" s="1" t="s">
        <v>560</v>
      </c>
      <c r="L278" s="1">
        <v>45275.73</v>
      </c>
      <c r="M278" s="1">
        <v>5</v>
      </c>
      <c r="N278" s="1">
        <v>0</v>
      </c>
      <c r="O278" s="1">
        <v>226378.65</v>
      </c>
      <c r="P278" s="1">
        <v>15978.49</v>
      </c>
    </row>
    <row r="279" spans="1:16" x14ac:dyDescent="0.3">
      <c r="A279" s="1" t="s">
        <v>510</v>
      </c>
      <c r="B279" s="2">
        <v>45530</v>
      </c>
      <c r="C279" s="2" t="str">
        <f>TEXT(E_Commerce_data[[#This Row],[order_date]],"MMM")</f>
        <v>Aug</v>
      </c>
      <c r="D279" s="1" t="s">
        <v>66</v>
      </c>
      <c r="E279" s="1" t="s">
        <v>67</v>
      </c>
      <c r="F279" s="1" t="s">
        <v>18</v>
      </c>
      <c r="G279" s="1" t="s">
        <v>19</v>
      </c>
      <c r="H279" s="2">
        <v>45657</v>
      </c>
      <c r="I279" s="1" t="s">
        <v>489</v>
      </c>
      <c r="J279" s="1" t="s">
        <v>490</v>
      </c>
      <c r="K279" s="1" t="s">
        <v>22</v>
      </c>
      <c r="L279" s="1">
        <v>11544.23</v>
      </c>
      <c r="M279" s="1">
        <v>2</v>
      </c>
      <c r="N279" s="1">
        <v>0.1</v>
      </c>
      <c r="O279" s="1">
        <v>20779.61</v>
      </c>
      <c r="P279" s="1">
        <v>2385.1999999999998</v>
      </c>
    </row>
    <row r="280" spans="1:16" x14ac:dyDescent="0.3">
      <c r="A280" s="1" t="s">
        <v>258</v>
      </c>
      <c r="B280" s="2">
        <v>45902</v>
      </c>
      <c r="C280" s="2" t="str">
        <f>TEXT(E_Commerce_data[[#This Row],[order_date]],"MMM")</f>
        <v>Sep</v>
      </c>
      <c r="D280" s="1" t="s">
        <v>259</v>
      </c>
      <c r="E280" s="1" t="s">
        <v>260</v>
      </c>
      <c r="F280" s="1" t="s">
        <v>18</v>
      </c>
      <c r="G280" s="1" t="s">
        <v>19</v>
      </c>
      <c r="H280" s="2">
        <v>45444</v>
      </c>
      <c r="I280" s="1" t="s">
        <v>215</v>
      </c>
      <c r="J280" s="1" t="s">
        <v>216</v>
      </c>
      <c r="K280" s="1" t="s">
        <v>22</v>
      </c>
      <c r="L280" s="1">
        <v>11273.63</v>
      </c>
      <c r="M280" s="1">
        <v>3</v>
      </c>
      <c r="N280" s="1">
        <v>0.2</v>
      </c>
      <c r="O280" s="1">
        <v>27056.71</v>
      </c>
      <c r="P280" s="1">
        <v>2550.5300000000002</v>
      </c>
    </row>
    <row r="281" spans="1:16" x14ac:dyDescent="0.3">
      <c r="A281" s="1" t="s">
        <v>84</v>
      </c>
      <c r="B281" s="2">
        <v>45440</v>
      </c>
      <c r="C281" s="2" t="str">
        <f>TEXT(E_Commerce_data[[#This Row],[order_date]],"MMM")</f>
        <v>May</v>
      </c>
      <c r="D281" s="1" t="s">
        <v>85</v>
      </c>
      <c r="E281" s="1" t="s">
        <v>86</v>
      </c>
      <c r="F281" s="1" t="s">
        <v>36</v>
      </c>
      <c r="G281" s="1" t="s">
        <v>32</v>
      </c>
      <c r="H281" s="2">
        <v>44957</v>
      </c>
      <c r="I281" s="1" t="s">
        <v>20</v>
      </c>
      <c r="J281" s="1" t="s">
        <v>21</v>
      </c>
      <c r="K281" s="1" t="s">
        <v>22</v>
      </c>
      <c r="L281" s="1">
        <v>6094.16</v>
      </c>
      <c r="M281" s="1">
        <v>1</v>
      </c>
      <c r="N281" s="1">
        <v>0</v>
      </c>
      <c r="O281" s="1">
        <v>6094.16</v>
      </c>
      <c r="P281" s="1">
        <v>1874.09</v>
      </c>
    </row>
    <row r="282" spans="1:16" x14ac:dyDescent="0.3">
      <c r="A282" s="1" t="s">
        <v>1117</v>
      </c>
      <c r="B282" s="2">
        <v>45470</v>
      </c>
      <c r="C282" s="2" t="str">
        <f>TEXT(E_Commerce_data[[#This Row],[order_date]],"MMM")</f>
        <v>Jun</v>
      </c>
      <c r="D282" s="1" t="s">
        <v>206</v>
      </c>
      <c r="E282" s="1" t="s">
        <v>207</v>
      </c>
      <c r="F282" s="1" t="s">
        <v>72</v>
      </c>
      <c r="G282" s="1" t="s">
        <v>48</v>
      </c>
      <c r="H282" s="2">
        <v>45625</v>
      </c>
      <c r="I282" s="1" t="s">
        <v>1102</v>
      </c>
      <c r="J282" s="1" t="s">
        <v>1103</v>
      </c>
      <c r="K282" s="1" t="s">
        <v>902</v>
      </c>
      <c r="L282" s="1">
        <v>33465.440000000002</v>
      </c>
      <c r="M282" s="1">
        <v>2</v>
      </c>
      <c r="N282" s="1">
        <v>0.1</v>
      </c>
      <c r="O282" s="1">
        <v>60237.79</v>
      </c>
      <c r="P282" s="1">
        <v>7541.55</v>
      </c>
    </row>
    <row r="283" spans="1:16" x14ac:dyDescent="0.3">
      <c r="A283" s="1" t="s">
        <v>1189</v>
      </c>
      <c r="B283" s="2">
        <v>45426</v>
      </c>
      <c r="C283" s="2" t="str">
        <f>TEXT(E_Commerce_data[[#This Row],[order_date]],"MMM")</f>
        <v>May</v>
      </c>
      <c r="D283" s="1" t="s">
        <v>53</v>
      </c>
      <c r="E283" s="1" t="s">
        <v>54</v>
      </c>
      <c r="F283" s="1" t="s">
        <v>55</v>
      </c>
      <c r="G283" s="1" t="s">
        <v>27</v>
      </c>
      <c r="H283" s="2">
        <v>45623</v>
      </c>
      <c r="I283" s="1" t="s">
        <v>1162</v>
      </c>
      <c r="J283" s="1" t="s">
        <v>1163</v>
      </c>
      <c r="K283" s="1" t="s">
        <v>902</v>
      </c>
      <c r="L283" s="1">
        <v>10751.13</v>
      </c>
      <c r="M283" s="1">
        <v>1</v>
      </c>
      <c r="N283" s="1">
        <v>0.15</v>
      </c>
      <c r="O283" s="1">
        <v>9138.4599999999991</v>
      </c>
      <c r="P283" s="1">
        <v>2832.32</v>
      </c>
    </row>
    <row r="284" spans="1:16" x14ac:dyDescent="0.3">
      <c r="A284" s="1" t="s">
        <v>581</v>
      </c>
      <c r="B284" s="2">
        <v>45535</v>
      </c>
      <c r="C284" s="2" t="str">
        <f>TEXT(E_Commerce_data[[#This Row],[order_date]],"MMM")</f>
        <v>Aug</v>
      </c>
      <c r="D284" s="1" t="s">
        <v>284</v>
      </c>
      <c r="E284" s="1" t="s">
        <v>285</v>
      </c>
      <c r="F284" s="1" t="s">
        <v>47</v>
      </c>
      <c r="G284" s="1" t="s">
        <v>48</v>
      </c>
      <c r="H284" s="2">
        <v>45427</v>
      </c>
      <c r="I284" s="1" t="s">
        <v>558</v>
      </c>
      <c r="J284" s="1" t="s">
        <v>559</v>
      </c>
      <c r="K284" s="1" t="s">
        <v>560</v>
      </c>
      <c r="L284" s="1">
        <v>11049.86</v>
      </c>
      <c r="M284" s="1">
        <v>1</v>
      </c>
      <c r="N284" s="1">
        <v>0</v>
      </c>
      <c r="O284" s="1">
        <v>11049.86</v>
      </c>
      <c r="P284" s="1">
        <v>3171.26</v>
      </c>
    </row>
    <row r="285" spans="1:16" x14ac:dyDescent="0.3">
      <c r="A285" s="1" t="s">
        <v>652</v>
      </c>
      <c r="B285" s="2">
        <v>45563</v>
      </c>
      <c r="C285" s="2" t="str">
        <f>TEXT(E_Commerce_data[[#This Row],[order_date]],"MMM")</f>
        <v>Sep</v>
      </c>
      <c r="D285" s="1" t="s">
        <v>338</v>
      </c>
      <c r="E285" s="1" t="s">
        <v>339</v>
      </c>
      <c r="F285" s="1" t="s">
        <v>93</v>
      </c>
      <c r="G285" s="1" t="s">
        <v>27</v>
      </c>
      <c r="H285" s="2">
        <v>45016</v>
      </c>
      <c r="I285" s="1" t="s">
        <v>633</v>
      </c>
      <c r="J285" s="1" t="s">
        <v>634</v>
      </c>
      <c r="K285" s="1" t="s">
        <v>560</v>
      </c>
      <c r="L285" s="1">
        <v>3596.1</v>
      </c>
      <c r="M285" s="1">
        <v>5</v>
      </c>
      <c r="N285" s="1">
        <v>0</v>
      </c>
      <c r="O285" s="1">
        <v>17980.5</v>
      </c>
      <c r="P285" s="1">
        <v>984.15</v>
      </c>
    </row>
    <row r="286" spans="1:16" x14ac:dyDescent="0.3">
      <c r="A286" s="1" t="s">
        <v>87</v>
      </c>
      <c r="B286" s="2">
        <v>45830</v>
      </c>
      <c r="C286" s="2" t="str">
        <f>TEXT(E_Commerce_data[[#This Row],[order_date]],"MMM")</f>
        <v>Jun</v>
      </c>
      <c r="D286" s="1" t="s">
        <v>88</v>
      </c>
      <c r="E286" s="1" t="s">
        <v>89</v>
      </c>
      <c r="F286" s="1" t="s">
        <v>18</v>
      </c>
      <c r="G286" s="1" t="s">
        <v>19</v>
      </c>
      <c r="H286" s="2">
        <v>45083</v>
      </c>
      <c r="I286" s="1" t="s">
        <v>20</v>
      </c>
      <c r="J286" s="1" t="s">
        <v>21</v>
      </c>
      <c r="K286" s="1" t="s">
        <v>22</v>
      </c>
      <c r="L286" s="1">
        <v>6094.16</v>
      </c>
      <c r="M286" s="1">
        <v>1</v>
      </c>
      <c r="N286" s="1">
        <v>0</v>
      </c>
      <c r="O286" s="1">
        <v>6094.16</v>
      </c>
      <c r="P286" s="1">
        <v>1660.75</v>
      </c>
    </row>
    <row r="287" spans="1:16" x14ac:dyDescent="0.3">
      <c r="A287" s="1" t="s">
        <v>848</v>
      </c>
      <c r="B287" s="2">
        <v>45751</v>
      </c>
      <c r="C287" s="2" t="str">
        <f>TEXT(E_Commerce_data[[#This Row],[order_date]],"MMM")</f>
        <v>Apr</v>
      </c>
      <c r="D287" s="1" t="s">
        <v>209</v>
      </c>
      <c r="E287" s="1" t="s">
        <v>210</v>
      </c>
      <c r="F287" s="1" t="s">
        <v>18</v>
      </c>
      <c r="G287" s="1" t="s">
        <v>19</v>
      </c>
      <c r="H287" s="2">
        <v>45507</v>
      </c>
      <c r="I287" s="1" t="s">
        <v>822</v>
      </c>
      <c r="J287" s="1" t="s">
        <v>823</v>
      </c>
      <c r="K287" s="1" t="s">
        <v>560</v>
      </c>
      <c r="L287" s="1">
        <v>45275.73</v>
      </c>
      <c r="M287" s="1">
        <v>1</v>
      </c>
      <c r="N287" s="1">
        <v>0.15</v>
      </c>
      <c r="O287" s="1">
        <v>38484.370000000003</v>
      </c>
      <c r="P287" s="1">
        <v>2658.02</v>
      </c>
    </row>
    <row r="288" spans="1:16" x14ac:dyDescent="0.3">
      <c r="A288" s="1" t="s">
        <v>435</v>
      </c>
      <c r="B288" s="2">
        <v>45754</v>
      </c>
      <c r="C288" s="2" t="str">
        <f>TEXT(E_Commerce_data[[#This Row],[order_date]],"MMM")</f>
        <v>Apr</v>
      </c>
      <c r="D288" s="1" t="s">
        <v>109</v>
      </c>
      <c r="E288" s="1" t="s">
        <v>110</v>
      </c>
      <c r="F288" s="1" t="s">
        <v>31</v>
      </c>
      <c r="G288" s="1" t="s">
        <v>32</v>
      </c>
      <c r="H288" s="2">
        <v>45026</v>
      </c>
      <c r="I288" s="1" t="s">
        <v>420</v>
      </c>
      <c r="J288" s="1" t="s">
        <v>421</v>
      </c>
      <c r="K288" s="1" t="s">
        <v>22</v>
      </c>
      <c r="L288" s="1">
        <v>29436.02</v>
      </c>
      <c r="M288" s="1">
        <v>3</v>
      </c>
      <c r="N288" s="1">
        <v>0.1</v>
      </c>
      <c r="O288" s="1">
        <v>79477.25</v>
      </c>
      <c r="P288" s="1">
        <v>18128.75</v>
      </c>
    </row>
    <row r="289" spans="1:16" x14ac:dyDescent="0.3">
      <c r="A289" s="1" t="s">
        <v>987</v>
      </c>
      <c r="B289" s="2">
        <v>45336</v>
      </c>
      <c r="C289" s="2" t="str">
        <f>TEXT(E_Commerce_data[[#This Row],[order_date]],"MMM")</f>
        <v>Feb</v>
      </c>
      <c r="D289" s="1" t="s">
        <v>259</v>
      </c>
      <c r="E289" s="1" t="s">
        <v>260</v>
      </c>
      <c r="F289" s="1" t="s">
        <v>18</v>
      </c>
      <c r="G289" s="1" t="s">
        <v>19</v>
      </c>
      <c r="H289" s="2">
        <v>45444</v>
      </c>
      <c r="I289" s="1" t="s">
        <v>964</v>
      </c>
      <c r="J289" s="1" t="s">
        <v>965</v>
      </c>
      <c r="K289" s="1" t="s">
        <v>902</v>
      </c>
      <c r="L289" s="1">
        <v>3589.32</v>
      </c>
      <c r="M289" s="1">
        <v>5</v>
      </c>
      <c r="N289" s="1">
        <v>0</v>
      </c>
      <c r="O289" s="1">
        <v>17946.599999999999</v>
      </c>
      <c r="P289" s="1">
        <v>5987.43</v>
      </c>
    </row>
    <row r="290" spans="1:16" x14ac:dyDescent="0.3">
      <c r="A290" s="1" t="s">
        <v>916</v>
      </c>
      <c r="B290" s="2">
        <v>45323</v>
      </c>
      <c r="C290" s="2" t="str">
        <f>TEXT(E_Commerce_data[[#This Row],[order_date]],"MMM")</f>
        <v>Feb</v>
      </c>
      <c r="D290" s="1" t="s">
        <v>424</v>
      </c>
      <c r="E290" s="1" t="s">
        <v>425</v>
      </c>
      <c r="F290" s="1" t="s">
        <v>43</v>
      </c>
      <c r="G290" s="1" t="s">
        <v>32</v>
      </c>
      <c r="H290" s="2">
        <v>45489</v>
      </c>
      <c r="I290" s="1" t="s">
        <v>900</v>
      </c>
      <c r="J290" s="1" t="s">
        <v>901</v>
      </c>
      <c r="K290" s="1" t="s">
        <v>902</v>
      </c>
      <c r="L290" s="1">
        <v>42988.79</v>
      </c>
      <c r="M290" s="1">
        <v>5</v>
      </c>
      <c r="N290" s="1">
        <v>0</v>
      </c>
      <c r="O290" s="1">
        <v>214943.95</v>
      </c>
      <c r="P290" s="1">
        <v>40283.24</v>
      </c>
    </row>
    <row r="291" spans="1:16" x14ac:dyDescent="0.3">
      <c r="A291" s="1" t="s">
        <v>917</v>
      </c>
      <c r="B291" s="2">
        <v>45728</v>
      </c>
      <c r="C291" s="2" t="str">
        <f>TEXT(E_Commerce_data[[#This Row],[order_date]],"MMM")</f>
        <v>Mar</v>
      </c>
      <c r="D291" s="1" t="s">
        <v>263</v>
      </c>
      <c r="E291" s="1" t="s">
        <v>264</v>
      </c>
      <c r="F291" s="1" t="s">
        <v>36</v>
      </c>
      <c r="G291" s="1" t="s">
        <v>32</v>
      </c>
      <c r="H291" s="2">
        <v>45397</v>
      </c>
      <c r="I291" s="1" t="s">
        <v>900</v>
      </c>
      <c r="J291" s="1" t="s">
        <v>901</v>
      </c>
      <c r="K291" s="1" t="s">
        <v>902</v>
      </c>
      <c r="L291" s="1">
        <v>42988.79</v>
      </c>
      <c r="M291" s="1">
        <v>1</v>
      </c>
      <c r="N291" s="1">
        <v>0.05</v>
      </c>
      <c r="O291" s="1">
        <v>40839.35</v>
      </c>
      <c r="P291" s="1">
        <v>12422.9</v>
      </c>
    </row>
    <row r="292" spans="1:16" x14ac:dyDescent="0.3">
      <c r="A292" s="1" t="s">
        <v>436</v>
      </c>
      <c r="B292" s="2">
        <v>45746</v>
      </c>
      <c r="C292" s="2" t="str">
        <f>TEXT(E_Commerce_data[[#This Row],[order_date]],"MMM")</f>
        <v>Mar</v>
      </c>
      <c r="D292" s="1" t="s">
        <v>384</v>
      </c>
      <c r="E292" s="1" t="s">
        <v>385</v>
      </c>
      <c r="F292" s="1" t="s">
        <v>93</v>
      </c>
      <c r="G292" s="1" t="s">
        <v>27</v>
      </c>
      <c r="H292" s="2">
        <v>45055</v>
      </c>
      <c r="I292" s="1" t="s">
        <v>420</v>
      </c>
      <c r="J292" s="1" t="s">
        <v>421</v>
      </c>
      <c r="K292" s="1" t="s">
        <v>22</v>
      </c>
      <c r="L292" s="1">
        <v>29436.02</v>
      </c>
      <c r="M292" s="1">
        <v>1</v>
      </c>
      <c r="N292" s="1">
        <v>0.05</v>
      </c>
      <c r="O292" s="1">
        <v>27964.22</v>
      </c>
      <c r="P292" s="1">
        <v>7374.74</v>
      </c>
    </row>
    <row r="293" spans="1:16" x14ac:dyDescent="0.3">
      <c r="A293" s="1" t="s">
        <v>511</v>
      </c>
      <c r="B293" s="2">
        <v>45443</v>
      </c>
      <c r="C293" s="2" t="str">
        <f>TEXT(E_Commerce_data[[#This Row],[order_date]],"MMM")</f>
        <v>May</v>
      </c>
      <c r="D293" s="1" t="s">
        <v>243</v>
      </c>
      <c r="E293" s="1" t="s">
        <v>244</v>
      </c>
      <c r="F293" s="1" t="s">
        <v>18</v>
      </c>
      <c r="G293" s="1" t="s">
        <v>19</v>
      </c>
      <c r="H293" s="2">
        <v>45223</v>
      </c>
      <c r="I293" s="1" t="s">
        <v>489</v>
      </c>
      <c r="J293" s="1" t="s">
        <v>490</v>
      </c>
      <c r="K293" s="1" t="s">
        <v>22</v>
      </c>
      <c r="L293" s="1">
        <v>11544.23</v>
      </c>
      <c r="M293" s="1">
        <v>1</v>
      </c>
      <c r="N293" s="1">
        <v>0</v>
      </c>
      <c r="O293" s="1">
        <v>11544.23</v>
      </c>
      <c r="P293" s="1">
        <v>1692.77</v>
      </c>
    </row>
    <row r="294" spans="1:16" x14ac:dyDescent="0.3">
      <c r="A294" s="1" t="s">
        <v>512</v>
      </c>
      <c r="B294" s="2">
        <v>45940</v>
      </c>
      <c r="C294" s="2" t="str">
        <f>TEXT(E_Commerce_data[[#This Row],[order_date]],"MMM")</f>
        <v>Oct</v>
      </c>
      <c r="D294" s="1" t="s">
        <v>99</v>
      </c>
      <c r="E294" s="1" t="s">
        <v>100</v>
      </c>
      <c r="F294" s="1" t="s">
        <v>43</v>
      </c>
      <c r="G294" s="1" t="s">
        <v>32</v>
      </c>
      <c r="H294" s="2">
        <v>45468</v>
      </c>
      <c r="I294" s="1" t="s">
        <v>489</v>
      </c>
      <c r="J294" s="1" t="s">
        <v>490</v>
      </c>
      <c r="K294" s="1" t="s">
        <v>22</v>
      </c>
      <c r="L294" s="1">
        <v>11544.23</v>
      </c>
      <c r="M294" s="1">
        <v>1</v>
      </c>
      <c r="N294" s="1">
        <v>0</v>
      </c>
      <c r="O294" s="1">
        <v>11544.23</v>
      </c>
      <c r="P294" s="1">
        <v>1529.67</v>
      </c>
    </row>
    <row r="295" spans="1:16" x14ac:dyDescent="0.3">
      <c r="A295" s="1" t="s">
        <v>90</v>
      </c>
      <c r="B295" s="2">
        <v>45682</v>
      </c>
      <c r="C295" s="2" t="str">
        <f>TEXT(E_Commerce_data[[#This Row],[order_date]],"MMM")</f>
        <v>Jan</v>
      </c>
      <c r="D295" s="1" t="s">
        <v>91</v>
      </c>
      <c r="E295" s="1" t="s">
        <v>92</v>
      </c>
      <c r="F295" s="1" t="s">
        <v>93</v>
      </c>
      <c r="G295" s="1" t="s">
        <v>27</v>
      </c>
      <c r="H295" s="2">
        <v>45550</v>
      </c>
      <c r="I295" s="1" t="s">
        <v>20</v>
      </c>
      <c r="J295" s="1" t="s">
        <v>21</v>
      </c>
      <c r="K295" s="1" t="s">
        <v>22</v>
      </c>
      <c r="L295" s="1">
        <v>6094.16</v>
      </c>
      <c r="M295" s="1">
        <v>5</v>
      </c>
      <c r="N295" s="1">
        <v>0.1</v>
      </c>
      <c r="O295" s="1">
        <v>27423.72</v>
      </c>
      <c r="P295" s="1">
        <v>7230.15</v>
      </c>
    </row>
    <row r="296" spans="1:16" x14ac:dyDescent="0.3">
      <c r="A296" s="1" t="s">
        <v>346</v>
      </c>
      <c r="B296" s="2">
        <v>45809</v>
      </c>
      <c r="C296" s="2" t="str">
        <f>TEXT(E_Commerce_data[[#This Row],[order_date]],"MMM")</f>
        <v>Jun</v>
      </c>
      <c r="D296" s="1" t="s">
        <v>230</v>
      </c>
      <c r="E296" s="1" t="s">
        <v>231</v>
      </c>
      <c r="F296" s="1" t="s">
        <v>72</v>
      </c>
      <c r="G296" s="1" t="s">
        <v>48</v>
      </c>
      <c r="H296" s="2">
        <v>45550</v>
      </c>
      <c r="I296" s="1" t="s">
        <v>315</v>
      </c>
      <c r="J296" s="1" t="s">
        <v>316</v>
      </c>
      <c r="K296" s="1" t="s">
        <v>22</v>
      </c>
      <c r="L296" s="1">
        <v>16937.37</v>
      </c>
      <c r="M296" s="1">
        <v>5</v>
      </c>
      <c r="N296" s="1">
        <v>0.1</v>
      </c>
      <c r="O296" s="1">
        <v>76218.16</v>
      </c>
      <c r="P296" s="1">
        <v>10553.88</v>
      </c>
    </row>
    <row r="297" spans="1:16" x14ac:dyDescent="0.3">
      <c r="A297" s="1" t="s">
        <v>347</v>
      </c>
      <c r="B297" s="2">
        <v>46010</v>
      </c>
      <c r="C297" s="2" t="str">
        <f>TEXT(E_Commerce_data[[#This Row],[order_date]],"MMM")</f>
        <v>Dec</v>
      </c>
      <c r="D297" s="1" t="s">
        <v>348</v>
      </c>
      <c r="E297" s="1" t="s">
        <v>349</v>
      </c>
      <c r="F297" s="1" t="s">
        <v>43</v>
      </c>
      <c r="G297" s="1" t="s">
        <v>32</v>
      </c>
      <c r="H297" s="2">
        <v>45332</v>
      </c>
      <c r="I297" s="1" t="s">
        <v>315</v>
      </c>
      <c r="J297" s="1" t="s">
        <v>316</v>
      </c>
      <c r="K297" s="1" t="s">
        <v>22</v>
      </c>
      <c r="L297" s="1">
        <v>16937.37</v>
      </c>
      <c r="M297" s="1">
        <v>5</v>
      </c>
      <c r="N297" s="1">
        <v>0.05</v>
      </c>
      <c r="O297" s="1">
        <v>80452.509999999995</v>
      </c>
      <c r="P297" s="1">
        <v>6416.37</v>
      </c>
    </row>
    <row r="298" spans="1:16" x14ac:dyDescent="0.3">
      <c r="A298" s="1" t="s">
        <v>94</v>
      </c>
      <c r="B298" s="2">
        <v>45856</v>
      </c>
      <c r="C298" s="2" t="str">
        <f>TEXT(E_Commerce_data[[#This Row],[order_date]],"MMM")</f>
        <v>Jul</v>
      </c>
      <c r="D298" s="1" t="s">
        <v>88</v>
      </c>
      <c r="E298" s="1" t="s">
        <v>89</v>
      </c>
      <c r="F298" s="1" t="s">
        <v>18</v>
      </c>
      <c r="G298" s="1" t="s">
        <v>19</v>
      </c>
      <c r="H298" s="2">
        <v>45083</v>
      </c>
      <c r="I298" s="1" t="s">
        <v>20</v>
      </c>
      <c r="J298" s="1" t="s">
        <v>21</v>
      </c>
      <c r="K298" s="1" t="s">
        <v>22</v>
      </c>
      <c r="L298" s="1">
        <v>6094.16</v>
      </c>
      <c r="M298" s="1">
        <v>1</v>
      </c>
      <c r="N298" s="1">
        <v>0.2</v>
      </c>
      <c r="O298" s="1">
        <v>4875.33</v>
      </c>
      <c r="P298" s="1">
        <v>1201.3499999999999</v>
      </c>
    </row>
    <row r="299" spans="1:16" x14ac:dyDescent="0.3">
      <c r="A299" s="1" t="s">
        <v>95</v>
      </c>
      <c r="B299" s="2">
        <v>45525</v>
      </c>
      <c r="C299" s="2" t="str">
        <f>TEXT(E_Commerce_data[[#This Row],[order_date]],"MMM")</f>
        <v>Aug</v>
      </c>
      <c r="D299" s="1" t="s">
        <v>96</v>
      </c>
      <c r="E299" s="1" t="s">
        <v>97</v>
      </c>
      <c r="F299" s="1" t="s">
        <v>18</v>
      </c>
      <c r="G299" s="1" t="s">
        <v>19</v>
      </c>
      <c r="H299" s="2">
        <v>45094</v>
      </c>
      <c r="I299" s="1" t="s">
        <v>20</v>
      </c>
      <c r="J299" s="1" t="s">
        <v>21</v>
      </c>
      <c r="K299" s="1" t="s">
        <v>22</v>
      </c>
      <c r="L299" s="1">
        <v>6094.16</v>
      </c>
      <c r="M299" s="1">
        <v>2</v>
      </c>
      <c r="N299" s="1">
        <v>0.05</v>
      </c>
      <c r="O299" s="1">
        <v>11578.9</v>
      </c>
      <c r="P299" s="1">
        <v>2147.5</v>
      </c>
    </row>
    <row r="300" spans="1:16" x14ac:dyDescent="0.3">
      <c r="A300" s="1" t="s">
        <v>98</v>
      </c>
      <c r="B300" s="2">
        <v>45700</v>
      </c>
      <c r="C300" s="2" t="str">
        <f>TEXT(E_Commerce_data[[#This Row],[order_date]],"MMM")</f>
        <v>Feb</v>
      </c>
      <c r="D300" s="1" t="s">
        <v>99</v>
      </c>
      <c r="E300" s="1" t="s">
        <v>100</v>
      </c>
      <c r="F300" s="1" t="s">
        <v>43</v>
      </c>
      <c r="G300" s="1" t="s">
        <v>32</v>
      </c>
      <c r="H300" s="2">
        <v>45468</v>
      </c>
      <c r="I300" s="1" t="s">
        <v>20</v>
      </c>
      <c r="J300" s="1" t="s">
        <v>21</v>
      </c>
      <c r="K300" s="1" t="s">
        <v>22</v>
      </c>
      <c r="L300" s="1">
        <v>6094.16</v>
      </c>
      <c r="M300" s="1">
        <v>4</v>
      </c>
      <c r="N300" s="1">
        <v>0</v>
      </c>
      <c r="O300" s="1">
        <v>24376.639999999999</v>
      </c>
      <c r="P300" s="1">
        <v>7269.74</v>
      </c>
    </row>
    <row r="301" spans="1:16" x14ac:dyDescent="0.3">
      <c r="A301" s="1" t="s">
        <v>350</v>
      </c>
      <c r="B301" s="2">
        <v>45729</v>
      </c>
      <c r="C301" s="2" t="str">
        <f>TEXT(E_Commerce_data[[#This Row],[order_date]],"MMM")</f>
        <v>Mar</v>
      </c>
      <c r="D301" s="1" t="s">
        <v>195</v>
      </c>
      <c r="E301" s="1" t="s">
        <v>196</v>
      </c>
      <c r="F301" s="1" t="s">
        <v>72</v>
      </c>
      <c r="G301" s="1" t="s">
        <v>48</v>
      </c>
      <c r="H301" s="2">
        <v>45165</v>
      </c>
      <c r="I301" s="1" t="s">
        <v>315</v>
      </c>
      <c r="J301" s="1" t="s">
        <v>316</v>
      </c>
      <c r="K301" s="1" t="s">
        <v>22</v>
      </c>
      <c r="L301" s="1">
        <v>16937.37</v>
      </c>
      <c r="M301" s="1">
        <v>4</v>
      </c>
      <c r="N301" s="1">
        <v>0.15</v>
      </c>
      <c r="O301" s="1">
        <v>57587.06</v>
      </c>
      <c r="P301" s="1">
        <v>4522.07</v>
      </c>
    </row>
    <row r="302" spans="1:16" x14ac:dyDescent="0.3">
      <c r="A302" s="1" t="s">
        <v>1190</v>
      </c>
      <c r="B302" s="2">
        <v>45448</v>
      </c>
      <c r="C302" s="2" t="str">
        <f>TEXT(E_Commerce_data[[#This Row],[order_date]],"MMM")</f>
        <v>Jun</v>
      </c>
      <c r="D302" s="1" t="s">
        <v>192</v>
      </c>
      <c r="E302" s="1" t="s">
        <v>193</v>
      </c>
      <c r="F302" s="1" t="s">
        <v>55</v>
      </c>
      <c r="G302" s="1" t="s">
        <v>27</v>
      </c>
      <c r="H302" s="2">
        <v>45448</v>
      </c>
      <c r="I302" s="1" t="s">
        <v>1162</v>
      </c>
      <c r="J302" s="1" t="s">
        <v>1163</v>
      </c>
      <c r="K302" s="1" t="s">
        <v>902</v>
      </c>
      <c r="L302" s="1">
        <v>10751.13</v>
      </c>
      <c r="M302" s="1">
        <v>3</v>
      </c>
      <c r="N302" s="1">
        <v>0.15</v>
      </c>
      <c r="O302" s="1">
        <v>27415.38</v>
      </c>
      <c r="P302" s="1">
        <v>3467.14</v>
      </c>
    </row>
    <row r="303" spans="1:16" x14ac:dyDescent="0.3">
      <c r="A303" s="1" t="s">
        <v>849</v>
      </c>
      <c r="B303" s="2">
        <v>45379</v>
      </c>
      <c r="C303" s="2" t="str">
        <f>TEXT(E_Commerce_data[[#This Row],[order_date]],"MMM")</f>
        <v>Mar</v>
      </c>
      <c r="D303" s="1" t="s">
        <v>564</v>
      </c>
      <c r="E303" s="1" t="s">
        <v>565</v>
      </c>
      <c r="F303" s="1" t="s">
        <v>55</v>
      </c>
      <c r="G303" s="1" t="s">
        <v>27</v>
      </c>
      <c r="H303" s="2">
        <v>45569</v>
      </c>
      <c r="I303" s="1" t="s">
        <v>822</v>
      </c>
      <c r="J303" s="1" t="s">
        <v>823</v>
      </c>
      <c r="K303" s="1" t="s">
        <v>560</v>
      </c>
      <c r="L303" s="1">
        <v>45275.73</v>
      </c>
      <c r="M303" s="1">
        <v>4</v>
      </c>
      <c r="N303" s="1">
        <v>0</v>
      </c>
      <c r="O303" s="1">
        <v>181102.92</v>
      </c>
      <c r="P303" s="1">
        <v>14011.47</v>
      </c>
    </row>
    <row r="304" spans="1:16" x14ac:dyDescent="0.3">
      <c r="A304" s="1" t="s">
        <v>101</v>
      </c>
      <c r="B304" s="2">
        <v>45673</v>
      </c>
      <c r="C304" s="2" t="str">
        <f>TEXT(E_Commerce_data[[#This Row],[order_date]],"MMM")</f>
        <v>Jan</v>
      </c>
      <c r="D304" s="1" t="s">
        <v>102</v>
      </c>
      <c r="E304" s="1" t="s">
        <v>103</v>
      </c>
      <c r="F304" s="1" t="s">
        <v>93</v>
      </c>
      <c r="G304" s="1" t="s">
        <v>27</v>
      </c>
      <c r="H304" s="2">
        <v>45548</v>
      </c>
      <c r="I304" s="1" t="s">
        <v>20</v>
      </c>
      <c r="J304" s="1" t="s">
        <v>21</v>
      </c>
      <c r="K304" s="1" t="s">
        <v>22</v>
      </c>
      <c r="L304" s="1">
        <v>6094.16</v>
      </c>
      <c r="M304" s="1">
        <v>1</v>
      </c>
      <c r="N304" s="1">
        <v>0.05</v>
      </c>
      <c r="O304" s="1">
        <v>5789.45</v>
      </c>
      <c r="P304" s="1">
        <v>457.19</v>
      </c>
    </row>
    <row r="305" spans="1:16" x14ac:dyDescent="0.3">
      <c r="A305" s="1" t="s">
        <v>988</v>
      </c>
      <c r="B305" s="2">
        <v>45867</v>
      </c>
      <c r="C305" s="2" t="str">
        <f>TEXT(E_Commerce_data[[#This Row],[order_date]],"MMM")</f>
        <v>Jul</v>
      </c>
      <c r="D305" s="1" t="s">
        <v>199</v>
      </c>
      <c r="E305" s="1" t="s">
        <v>200</v>
      </c>
      <c r="F305" s="1" t="s">
        <v>36</v>
      </c>
      <c r="G305" s="1" t="s">
        <v>32</v>
      </c>
      <c r="H305" s="2">
        <v>45196</v>
      </c>
      <c r="I305" s="1" t="s">
        <v>964</v>
      </c>
      <c r="J305" s="1" t="s">
        <v>965</v>
      </c>
      <c r="K305" s="1" t="s">
        <v>902</v>
      </c>
      <c r="L305" s="1">
        <v>3589.32</v>
      </c>
      <c r="M305" s="1">
        <v>2</v>
      </c>
      <c r="N305" s="1">
        <v>0.1</v>
      </c>
      <c r="O305" s="1">
        <v>6460.78</v>
      </c>
      <c r="P305" s="1">
        <v>439.3</v>
      </c>
    </row>
    <row r="306" spans="1:16" x14ac:dyDescent="0.3">
      <c r="A306" s="1" t="s">
        <v>723</v>
      </c>
      <c r="B306" s="2">
        <v>45712</v>
      </c>
      <c r="C306" s="2" t="str">
        <f>TEXT(E_Commerce_data[[#This Row],[order_date]],"MMM")</f>
        <v>Feb</v>
      </c>
      <c r="D306" s="1" t="s">
        <v>341</v>
      </c>
      <c r="E306" s="1" t="s">
        <v>342</v>
      </c>
      <c r="F306" s="1" t="s">
        <v>93</v>
      </c>
      <c r="G306" s="1" t="s">
        <v>27</v>
      </c>
      <c r="H306" s="2">
        <v>45633</v>
      </c>
      <c r="I306" s="1" t="s">
        <v>706</v>
      </c>
      <c r="J306" s="1" t="s">
        <v>707</v>
      </c>
      <c r="K306" s="1" t="s">
        <v>560</v>
      </c>
      <c r="L306" s="1">
        <v>31573.59</v>
      </c>
      <c r="M306" s="1">
        <v>5</v>
      </c>
      <c r="N306" s="1">
        <v>0</v>
      </c>
      <c r="O306" s="1">
        <v>157867.95000000001</v>
      </c>
      <c r="P306" s="1">
        <v>39625.480000000003</v>
      </c>
    </row>
    <row r="307" spans="1:16" x14ac:dyDescent="0.3">
      <c r="A307" s="1" t="s">
        <v>653</v>
      </c>
      <c r="B307" s="2">
        <v>45725</v>
      </c>
      <c r="C307" s="2" t="str">
        <f>TEXT(E_Commerce_data[[#This Row],[order_date]],"MMM")</f>
        <v>Mar</v>
      </c>
      <c r="D307" s="1" t="s">
        <v>50</v>
      </c>
      <c r="E307" s="1" t="s">
        <v>51</v>
      </c>
      <c r="F307" s="1" t="s">
        <v>47</v>
      </c>
      <c r="G307" s="1" t="s">
        <v>48</v>
      </c>
      <c r="H307" s="2">
        <v>45041</v>
      </c>
      <c r="I307" s="1" t="s">
        <v>633</v>
      </c>
      <c r="J307" s="1" t="s">
        <v>634</v>
      </c>
      <c r="K307" s="1" t="s">
        <v>560</v>
      </c>
      <c r="L307" s="1">
        <v>3596.1</v>
      </c>
      <c r="M307" s="1">
        <v>3</v>
      </c>
      <c r="N307" s="1">
        <v>0.2</v>
      </c>
      <c r="O307" s="1">
        <v>8630.64</v>
      </c>
      <c r="P307" s="1">
        <v>2154.23</v>
      </c>
    </row>
    <row r="308" spans="1:16" x14ac:dyDescent="0.3">
      <c r="A308" s="1" t="s">
        <v>783</v>
      </c>
      <c r="B308" s="2">
        <v>45652</v>
      </c>
      <c r="C308" s="2" t="str">
        <f>TEXT(E_Commerce_data[[#This Row],[order_date]],"MMM")</f>
        <v>Dec</v>
      </c>
      <c r="D308" s="1" t="s">
        <v>179</v>
      </c>
      <c r="E308" s="1" t="s">
        <v>180</v>
      </c>
      <c r="F308" s="1" t="s">
        <v>47</v>
      </c>
      <c r="G308" s="1" t="s">
        <v>48</v>
      </c>
      <c r="H308" s="2">
        <v>45337</v>
      </c>
      <c r="I308" s="1" t="s">
        <v>763</v>
      </c>
      <c r="J308" s="1" t="s">
        <v>764</v>
      </c>
      <c r="K308" s="1" t="s">
        <v>560</v>
      </c>
      <c r="L308" s="1">
        <v>11485.64</v>
      </c>
      <c r="M308" s="1">
        <v>1</v>
      </c>
      <c r="N308" s="1">
        <v>0</v>
      </c>
      <c r="O308" s="1">
        <v>11485.64</v>
      </c>
      <c r="P308" s="1">
        <v>2643.11</v>
      </c>
    </row>
    <row r="309" spans="1:16" x14ac:dyDescent="0.3">
      <c r="A309" s="1" t="s">
        <v>261</v>
      </c>
      <c r="B309" s="2">
        <v>45450</v>
      </c>
      <c r="C309" s="2" t="str">
        <f>TEXT(E_Commerce_data[[#This Row],[order_date]],"MMM")</f>
        <v>Jun</v>
      </c>
      <c r="D309" s="1" t="s">
        <v>106</v>
      </c>
      <c r="E309" s="1" t="s">
        <v>107</v>
      </c>
      <c r="F309" s="1" t="s">
        <v>47</v>
      </c>
      <c r="G309" s="1" t="s">
        <v>48</v>
      </c>
      <c r="H309" s="2">
        <v>45375</v>
      </c>
      <c r="I309" s="1" t="s">
        <v>215</v>
      </c>
      <c r="J309" s="1" t="s">
        <v>216</v>
      </c>
      <c r="K309" s="1" t="s">
        <v>22</v>
      </c>
      <c r="L309" s="1">
        <v>11273.63</v>
      </c>
      <c r="M309" s="1">
        <v>1</v>
      </c>
      <c r="N309" s="1">
        <v>0.1</v>
      </c>
      <c r="O309" s="1">
        <v>10146.27</v>
      </c>
      <c r="P309" s="1">
        <v>2051.8200000000002</v>
      </c>
    </row>
    <row r="310" spans="1:16" x14ac:dyDescent="0.3">
      <c r="A310" s="1" t="s">
        <v>989</v>
      </c>
      <c r="B310" s="2">
        <v>45650</v>
      </c>
      <c r="C310" s="2" t="str">
        <f>TEXT(E_Commerce_data[[#This Row],[order_date]],"MMM")</f>
        <v>Dec</v>
      </c>
      <c r="D310" s="1" t="s">
        <v>74</v>
      </c>
      <c r="E310" s="1" t="s">
        <v>75</v>
      </c>
      <c r="F310" s="1" t="s">
        <v>76</v>
      </c>
      <c r="G310" s="1" t="s">
        <v>32</v>
      </c>
      <c r="H310" s="2">
        <v>44954</v>
      </c>
      <c r="I310" s="1" t="s">
        <v>964</v>
      </c>
      <c r="J310" s="1" t="s">
        <v>965</v>
      </c>
      <c r="K310" s="1" t="s">
        <v>902</v>
      </c>
      <c r="L310" s="1">
        <v>3589.32</v>
      </c>
      <c r="M310" s="1">
        <v>4</v>
      </c>
      <c r="N310" s="1">
        <v>0</v>
      </c>
      <c r="O310" s="1">
        <v>14357.28</v>
      </c>
      <c r="P310" s="1">
        <v>4367.2299999999996</v>
      </c>
    </row>
    <row r="311" spans="1:16" x14ac:dyDescent="0.3">
      <c r="A311" s="1" t="s">
        <v>654</v>
      </c>
      <c r="B311" s="2">
        <v>45577</v>
      </c>
      <c r="C311" s="2" t="str">
        <f>TEXT(E_Commerce_data[[#This Row],[order_date]],"MMM")</f>
        <v>Oct</v>
      </c>
      <c r="D311" s="1" t="s">
        <v>102</v>
      </c>
      <c r="E311" s="1" t="s">
        <v>103</v>
      </c>
      <c r="F311" s="1" t="s">
        <v>93</v>
      </c>
      <c r="G311" s="1" t="s">
        <v>27</v>
      </c>
      <c r="H311" s="2">
        <v>45548</v>
      </c>
      <c r="I311" s="1" t="s">
        <v>633</v>
      </c>
      <c r="J311" s="1" t="s">
        <v>634</v>
      </c>
      <c r="K311" s="1" t="s">
        <v>560</v>
      </c>
      <c r="L311" s="1">
        <v>3596.1</v>
      </c>
      <c r="M311" s="1">
        <v>5</v>
      </c>
      <c r="N311" s="1">
        <v>0</v>
      </c>
      <c r="O311" s="1">
        <v>17980.5</v>
      </c>
      <c r="P311" s="1">
        <v>1518.73</v>
      </c>
    </row>
    <row r="312" spans="1:16" x14ac:dyDescent="0.3">
      <c r="A312" s="1" t="s">
        <v>990</v>
      </c>
      <c r="B312" s="2">
        <v>45866</v>
      </c>
      <c r="C312" s="2" t="str">
        <f>TEXT(E_Commerce_data[[#This Row],[order_date]],"MMM")</f>
        <v>Jul</v>
      </c>
      <c r="D312" s="1" t="s">
        <v>99</v>
      </c>
      <c r="E312" s="1" t="s">
        <v>100</v>
      </c>
      <c r="F312" s="1" t="s">
        <v>43</v>
      </c>
      <c r="G312" s="1" t="s">
        <v>32</v>
      </c>
      <c r="H312" s="2">
        <v>45468</v>
      </c>
      <c r="I312" s="1" t="s">
        <v>964</v>
      </c>
      <c r="J312" s="1" t="s">
        <v>965</v>
      </c>
      <c r="K312" s="1" t="s">
        <v>902</v>
      </c>
      <c r="L312" s="1">
        <v>3589.32</v>
      </c>
      <c r="M312" s="1">
        <v>5</v>
      </c>
      <c r="N312" s="1">
        <v>0</v>
      </c>
      <c r="O312" s="1">
        <v>17946.599999999999</v>
      </c>
      <c r="P312" s="1">
        <v>5243.39</v>
      </c>
    </row>
    <row r="313" spans="1:16" x14ac:dyDescent="0.3">
      <c r="A313" s="1" t="s">
        <v>1056</v>
      </c>
      <c r="B313" s="2">
        <v>45862</v>
      </c>
      <c r="C313" s="2" t="str">
        <f>TEXT(E_Commerce_data[[#This Row],[order_date]],"MMM")</f>
        <v>Jul</v>
      </c>
      <c r="D313" s="1" t="s">
        <v>259</v>
      </c>
      <c r="E313" s="1" t="s">
        <v>260</v>
      </c>
      <c r="F313" s="1" t="s">
        <v>18</v>
      </c>
      <c r="G313" s="1" t="s">
        <v>19</v>
      </c>
      <c r="H313" s="2">
        <v>45444</v>
      </c>
      <c r="I313" s="1" t="s">
        <v>1034</v>
      </c>
      <c r="J313" s="1" t="s">
        <v>1035</v>
      </c>
      <c r="K313" s="1" t="s">
        <v>902</v>
      </c>
      <c r="L313" s="1">
        <v>11938.33</v>
      </c>
      <c r="M313" s="1">
        <v>5</v>
      </c>
      <c r="N313" s="1">
        <v>0.1</v>
      </c>
      <c r="O313" s="1">
        <v>53722.48</v>
      </c>
      <c r="P313" s="1">
        <v>13564.55</v>
      </c>
    </row>
    <row r="314" spans="1:16" x14ac:dyDescent="0.3">
      <c r="A314" s="1" t="s">
        <v>991</v>
      </c>
      <c r="B314" s="2">
        <v>46002</v>
      </c>
      <c r="C314" s="2" t="str">
        <f>TEXT(E_Commerce_data[[#This Row],[order_date]],"MMM")</f>
        <v>Dec</v>
      </c>
      <c r="D314" s="1" t="s">
        <v>153</v>
      </c>
      <c r="E314" s="1" t="s">
        <v>154</v>
      </c>
      <c r="F314" s="1" t="s">
        <v>43</v>
      </c>
      <c r="G314" s="1" t="s">
        <v>32</v>
      </c>
      <c r="H314" s="2">
        <v>45073</v>
      </c>
      <c r="I314" s="1" t="s">
        <v>964</v>
      </c>
      <c r="J314" s="1" t="s">
        <v>965</v>
      </c>
      <c r="K314" s="1" t="s">
        <v>902</v>
      </c>
      <c r="L314" s="1">
        <v>3589.32</v>
      </c>
      <c r="M314" s="1">
        <v>1</v>
      </c>
      <c r="N314" s="1">
        <v>0.1</v>
      </c>
      <c r="O314" s="1">
        <v>3230.39</v>
      </c>
      <c r="P314" s="1">
        <v>1061.9100000000001</v>
      </c>
    </row>
    <row r="315" spans="1:16" x14ac:dyDescent="0.3">
      <c r="A315" s="1" t="s">
        <v>582</v>
      </c>
      <c r="B315" s="2">
        <v>46011</v>
      </c>
      <c r="C315" s="2" t="str">
        <f>TEXT(E_Commerce_data[[#This Row],[order_date]],"MMM")</f>
        <v>Dec</v>
      </c>
      <c r="D315" s="1" t="s">
        <v>78</v>
      </c>
      <c r="E315" s="1" t="s">
        <v>79</v>
      </c>
      <c r="F315" s="1" t="s">
        <v>76</v>
      </c>
      <c r="G315" s="1" t="s">
        <v>32</v>
      </c>
      <c r="H315" s="2">
        <v>45365</v>
      </c>
      <c r="I315" s="1" t="s">
        <v>558</v>
      </c>
      <c r="J315" s="1" t="s">
        <v>559</v>
      </c>
      <c r="K315" s="1" t="s">
        <v>560</v>
      </c>
      <c r="L315" s="1">
        <v>11049.86</v>
      </c>
      <c r="M315" s="1">
        <v>3</v>
      </c>
      <c r="N315" s="1">
        <v>0</v>
      </c>
      <c r="O315" s="1">
        <v>33149.58</v>
      </c>
      <c r="P315" s="1">
        <v>3451.69</v>
      </c>
    </row>
    <row r="316" spans="1:16" x14ac:dyDescent="0.3">
      <c r="A316" s="1" t="s">
        <v>1057</v>
      </c>
      <c r="B316" s="2">
        <v>45477</v>
      </c>
      <c r="C316" s="2" t="str">
        <f>TEXT(E_Commerce_data[[#This Row],[order_date]],"MMM")</f>
        <v>Jul</v>
      </c>
      <c r="D316" s="1" t="s">
        <v>50</v>
      </c>
      <c r="E316" s="1" t="s">
        <v>51</v>
      </c>
      <c r="F316" s="1" t="s">
        <v>47</v>
      </c>
      <c r="G316" s="1" t="s">
        <v>48</v>
      </c>
      <c r="H316" s="2">
        <v>45041</v>
      </c>
      <c r="I316" s="1" t="s">
        <v>1034</v>
      </c>
      <c r="J316" s="1" t="s">
        <v>1035</v>
      </c>
      <c r="K316" s="1" t="s">
        <v>902</v>
      </c>
      <c r="L316" s="1">
        <v>11938.33</v>
      </c>
      <c r="M316" s="1">
        <v>3</v>
      </c>
      <c r="N316" s="1">
        <v>0</v>
      </c>
      <c r="O316" s="1">
        <v>35814.99</v>
      </c>
      <c r="P316" s="1">
        <v>5562.32</v>
      </c>
    </row>
    <row r="317" spans="1:16" x14ac:dyDescent="0.3">
      <c r="A317" s="1" t="s">
        <v>918</v>
      </c>
      <c r="B317" s="2">
        <v>45363</v>
      </c>
      <c r="C317" s="2" t="str">
        <f>TEXT(E_Commerce_data[[#This Row],[order_date]],"MMM")</f>
        <v>Mar</v>
      </c>
      <c r="D317" s="1" t="s">
        <v>361</v>
      </c>
      <c r="E317" s="1" t="s">
        <v>362</v>
      </c>
      <c r="F317" s="1" t="s">
        <v>93</v>
      </c>
      <c r="G317" s="1" t="s">
        <v>27</v>
      </c>
      <c r="H317" s="2">
        <v>45227</v>
      </c>
      <c r="I317" s="1" t="s">
        <v>900</v>
      </c>
      <c r="J317" s="1" t="s">
        <v>901</v>
      </c>
      <c r="K317" s="1" t="s">
        <v>902</v>
      </c>
      <c r="L317" s="1">
        <v>42988.79</v>
      </c>
      <c r="M317" s="1">
        <v>2</v>
      </c>
      <c r="N317" s="1">
        <v>0.1</v>
      </c>
      <c r="O317" s="1">
        <v>77379.820000000007</v>
      </c>
      <c r="P317" s="1">
        <v>19128.55</v>
      </c>
    </row>
    <row r="318" spans="1:16" x14ac:dyDescent="0.3">
      <c r="A318" s="1" t="s">
        <v>437</v>
      </c>
      <c r="B318" s="2">
        <v>45323</v>
      </c>
      <c r="C318" s="2" t="str">
        <f>TEXT(E_Commerce_data[[#This Row],[order_date]],"MMM")</f>
        <v>Feb</v>
      </c>
      <c r="D318" s="1" t="s">
        <v>361</v>
      </c>
      <c r="E318" s="1" t="s">
        <v>362</v>
      </c>
      <c r="F318" s="1" t="s">
        <v>93</v>
      </c>
      <c r="G318" s="1" t="s">
        <v>27</v>
      </c>
      <c r="H318" s="2">
        <v>45227</v>
      </c>
      <c r="I318" s="1" t="s">
        <v>420</v>
      </c>
      <c r="J318" s="1" t="s">
        <v>421</v>
      </c>
      <c r="K318" s="1" t="s">
        <v>22</v>
      </c>
      <c r="L318" s="1">
        <v>29436.02</v>
      </c>
      <c r="M318" s="1">
        <v>2</v>
      </c>
      <c r="N318" s="1">
        <v>0.15</v>
      </c>
      <c r="O318" s="1">
        <v>50041.23</v>
      </c>
      <c r="P318" s="1">
        <v>12007.47</v>
      </c>
    </row>
    <row r="319" spans="1:16" x14ac:dyDescent="0.3">
      <c r="A319" s="1" t="s">
        <v>262</v>
      </c>
      <c r="B319" s="2">
        <v>45677</v>
      </c>
      <c r="C319" s="2" t="str">
        <f>TEXT(E_Commerce_data[[#This Row],[order_date]],"MMM")</f>
        <v>Jan</v>
      </c>
      <c r="D319" s="1" t="s">
        <v>263</v>
      </c>
      <c r="E319" s="1" t="s">
        <v>264</v>
      </c>
      <c r="F319" s="1" t="s">
        <v>36</v>
      </c>
      <c r="G319" s="1" t="s">
        <v>32</v>
      </c>
      <c r="H319" s="2">
        <v>45397</v>
      </c>
      <c r="I319" s="1" t="s">
        <v>215</v>
      </c>
      <c r="J319" s="1" t="s">
        <v>216</v>
      </c>
      <c r="K319" s="1" t="s">
        <v>22</v>
      </c>
      <c r="L319" s="1">
        <v>11273.63</v>
      </c>
      <c r="M319" s="1">
        <v>1</v>
      </c>
      <c r="N319" s="1">
        <v>0.15</v>
      </c>
      <c r="O319" s="1">
        <v>9582.59</v>
      </c>
      <c r="P319" s="1">
        <v>2004.15</v>
      </c>
    </row>
    <row r="320" spans="1:16" x14ac:dyDescent="0.3">
      <c r="A320" s="1" t="s">
        <v>784</v>
      </c>
      <c r="B320" s="2">
        <v>45670</v>
      </c>
      <c r="C320" s="2" t="str">
        <f>TEXT(E_Commerce_data[[#This Row],[order_date]],"MMM")</f>
        <v>Jan</v>
      </c>
      <c r="D320" s="1" t="s">
        <v>165</v>
      </c>
      <c r="E320" s="1" t="s">
        <v>166</v>
      </c>
      <c r="F320" s="1" t="s">
        <v>36</v>
      </c>
      <c r="G320" s="1" t="s">
        <v>32</v>
      </c>
      <c r="H320" s="2">
        <v>45039</v>
      </c>
      <c r="I320" s="1" t="s">
        <v>763</v>
      </c>
      <c r="J320" s="1" t="s">
        <v>764</v>
      </c>
      <c r="K320" s="1" t="s">
        <v>560</v>
      </c>
      <c r="L320" s="1">
        <v>11485.64</v>
      </c>
      <c r="M320" s="1">
        <v>4</v>
      </c>
      <c r="N320" s="1">
        <v>0.05</v>
      </c>
      <c r="O320" s="1">
        <v>43645.43</v>
      </c>
      <c r="P320" s="1">
        <v>6645.84</v>
      </c>
    </row>
    <row r="321" spans="1:16" x14ac:dyDescent="0.3">
      <c r="A321" s="1" t="s">
        <v>1191</v>
      </c>
      <c r="B321" s="2">
        <v>45873</v>
      </c>
      <c r="C321" s="2" t="str">
        <f>TEXT(E_Commerce_data[[#This Row],[order_date]],"MMM")</f>
        <v>Aug</v>
      </c>
      <c r="D321" s="1" t="s">
        <v>168</v>
      </c>
      <c r="E321" s="1" t="s">
        <v>169</v>
      </c>
      <c r="F321" s="1" t="s">
        <v>93</v>
      </c>
      <c r="G321" s="1" t="s">
        <v>27</v>
      </c>
      <c r="H321" s="2">
        <v>45389</v>
      </c>
      <c r="I321" s="1" t="s">
        <v>1162</v>
      </c>
      <c r="J321" s="1" t="s">
        <v>1163</v>
      </c>
      <c r="K321" s="1" t="s">
        <v>902</v>
      </c>
      <c r="L321" s="1">
        <v>10751.13</v>
      </c>
      <c r="M321" s="1">
        <v>3</v>
      </c>
      <c r="N321" s="1">
        <v>0.15</v>
      </c>
      <c r="O321" s="1">
        <v>27415.38</v>
      </c>
      <c r="P321" s="1">
        <v>4038.69</v>
      </c>
    </row>
    <row r="322" spans="1:16" x14ac:dyDescent="0.3">
      <c r="A322" s="1" t="s">
        <v>1192</v>
      </c>
      <c r="B322" s="2">
        <v>45451</v>
      </c>
      <c r="C322" s="2" t="str">
        <f>TEXT(E_Commerce_data[[#This Row],[order_date]],"MMM")</f>
        <v>Jun</v>
      </c>
      <c r="D322" s="1" t="s">
        <v>162</v>
      </c>
      <c r="E322" s="1" t="s">
        <v>163</v>
      </c>
      <c r="F322" s="1" t="s">
        <v>93</v>
      </c>
      <c r="G322" s="1" t="s">
        <v>27</v>
      </c>
      <c r="H322" s="2">
        <v>45200</v>
      </c>
      <c r="I322" s="1" t="s">
        <v>1162</v>
      </c>
      <c r="J322" s="1" t="s">
        <v>1163</v>
      </c>
      <c r="K322" s="1" t="s">
        <v>902</v>
      </c>
      <c r="L322" s="1">
        <v>10751.13</v>
      </c>
      <c r="M322" s="1">
        <v>5</v>
      </c>
      <c r="N322" s="1">
        <v>0</v>
      </c>
      <c r="O322" s="1">
        <v>53755.65</v>
      </c>
      <c r="P322" s="1">
        <v>16933.169999999998</v>
      </c>
    </row>
    <row r="323" spans="1:16" x14ac:dyDescent="0.3">
      <c r="A323" s="1" t="s">
        <v>850</v>
      </c>
      <c r="B323" s="2">
        <v>45982</v>
      </c>
      <c r="C323" s="2" t="str">
        <f>TEXT(E_Commerce_data[[#This Row],[order_date]],"MMM")</f>
        <v>Nov</v>
      </c>
      <c r="D323" s="1" t="s">
        <v>41</v>
      </c>
      <c r="E323" s="1" t="s">
        <v>42</v>
      </c>
      <c r="F323" s="1" t="s">
        <v>43</v>
      </c>
      <c r="G323" s="1" t="s">
        <v>32</v>
      </c>
      <c r="H323" s="2">
        <v>45020</v>
      </c>
      <c r="I323" s="1" t="s">
        <v>822</v>
      </c>
      <c r="J323" s="1" t="s">
        <v>823</v>
      </c>
      <c r="K323" s="1" t="s">
        <v>560</v>
      </c>
      <c r="L323" s="1">
        <v>45275.73</v>
      </c>
      <c r="M323" s="1">
        <v>2</v>
      </c>
      <c r="N323" s="1">
        <v>0.2</v>
      </c>
      <c r="O323" s="1">
        <v>72441.17</v>
      </c>
      <c r="P323" s="1">
        <v>17049.13</v>
      </c>
    </row>
    <row r="324" spans="1:16" x14ac:dyDescent="0.3">
      <c r="A324" s="1" t="s">
        <v>513</v>
      </c>
      <c r="B324" s="2">
        <v>45726</v>
      </c>
      <c r="C324" s="2" t="str">
        <f>TEXT(E_Commerce_data[[#This Row],[order_date]],"MMM")</f>
        <v>Mar</v>
      </c>
      <c r="D324" s="1" t="s">
        <v>514</v>
      </c>
      <c r="E324" s="1" t="s">
        <v>515</v>
      </c>
      <c r="F324" s="1" t="s">
        <v>18</v>
      </c>
      <c r="G324" s="1" t="s">
        <v>19</v>
      </c>
      <c r="H324" s="2">
        <v>45386</v>
      </c>
      <c r="I324" s="1" t="s">
        <v>489</v>
      </c>
      <c r="J324" s="1" t="s">
        <v>490</v>
      </c>
      <c r="K324" s="1" t="s">
        <v>22</v>
      </c>
      <c r="L324" s="1">
        <v>11544.23</v>
      </c>
      <c r="M324" s="1">
        <v>1</v>
      </c>
      <c r="N324" s="1">
        <v>0</v>
      </c>
      <c r="O324" s="1">
        <v>11544.23</v>
      </c>
      <c r="P324" s="1">
        <v>2111.83</v>
      </c>
    </row>
    <row r="325" spans="1:16" x14ac:dyDescent="0.3">
      <c r="A325" s="1" t="s">
        <v>104</v>
      </c>
      <c r="B325" s="2">
        <v>45571</v>
      </c>
      <c r="C325" s="2" t="str">
        <f>TEXT(E_Commerce_data[[#This Row],[order_date]],"MMM")</f>
        <v>Oct</v>
      </c>
      <c r="D325" s="1" t="s">
        <v>57</v>
      </c>
      <c r="E325" s="1" t="s">
        <v>58</v>
      </c>
      <c r="F325" s="1" t="s">
        <v>55</v>
      </c>
      <c r="G325" s="1" t="s">
        <v>27</v>
      </c>
      <c r="H325" s="2">
        <v>45391</v>
      </c>
      <c r="I325" s="1" t="s">
        <v>20</v>
      </c>
      <c r="J325" s="1" t="s">
        <v>21</v>
      </c>
      <c r="K325" s="1" t="s">
        <v>22</v>
      </c>
      <c r="L325" s="1">
        <v>6094.16</v>
      </c>
      <c r="M325" s="1">
        <v>4</v>
      </c>
      <c r="N325" s="1">
        <v>0.1</v>
      </c>
      <c r="O325" s="1">
        <v>21938.98</v>
      </c>
      <c r="P325" s="1">
        <v>4006.35</v>
      </c>
    </row>
    <row r="326" spans="1:16" x14ac:dyDescent="0.3">
      <c r="A326" s="1" t="s">
        <v>583</v>
      </c>
      <c r="B326" s="2">
        <v>45645</v>
      </c>
      <c r="C326" s="2" t="str">
        <f>TEXT(E_Commerce_data[[#This Row],[order_date]],"MMM")</f>
        <v>Dec</v>
      </c>
      <c r="D326" s="1" t="s">
        <v>142</v>
      </c>
      <c r="E326" s="1" t="s">
        <v>143</v>
      </c>
      <c r="F326" s="1" t="s">
        <v>93</v>
      </c>
      <c r="G326" s="1" t="s">
        <v>27</v>
      </c>
      <c r="H326" s="2">
        <v>45109</v>
      </c>
      <c r="I326" s="1" t="s">
        <v>558</v>
      </c>
      <c r="J326" s="1" t="s">
        <v>559</v>
      </c>
      <c r="K326" s="1" t="s">
        <v>560</v>
      </c>
      <c r="L326" s="1">
        <v>11049.86</v>
      </c>
      <c r="M326" s="1">
        <v>2</v>
      </c>
      <c r="N326" s="1">
        <v>0.2</v>
      </c>
      <c r="O326" s="1">
        <v>17679.78</v>
      </c>
      <c r="P326" s="1">
        <v>3601.44</v>
      </c>
    </row>
    <row r="327" spans="1:16" x14ac:dyDescent="0.3">
      <c r="A327" s="1" t="s">
        <v>584</v>
      </c>
      <c r="B327" s="2">
        <v>45986</v>
      </c>
      <c r="C327" s="2" t="str">
        <f>TEXT(E_Commerce_data[[#This Row],[order_date]],"MMM")</f>
        <v>Nov</v>
      </c>
      <c r="D327" s="1" t="s">
        <v>53</v>
      </c>
      <c r="E327" s="1" t="s">
        <v>54</v>
      </c>
      <c r="F327" s="1" t="s">
        <v>55</v>
      </c>
      <c r="G327" s="1" t="s">
        <v>27</v>
      </c>
      <c r="H327" s="2">
        <v>45623</v>
      </c>
      <c r="I327" s="1" t="s">
        <v>558</v>
      </c>
      <c r="J327" s="1" t="s">
        <v>559</v>
      </c>
      <c r="K327" s="1" t="s">
        <v>560</v>
      </c>
      <c r="L327" s="1">
        <v>11049.86</v>
      </c>
      <c r="M327" s="1">
        <v>4</v>
      </c>
      <c r="N327" s="1">
        <v>0</v>
      </c>
      <c r="O327" s="1">
        <v>44199.44</v>
      </c>
      <c r="P327" s="1">
        <v>5965.77</v>
      </c>
    </row>
    <row r="328" spans="1:16" x14ac:dyDescent="0.3">
      <c r="A328" s="1" t="s">
        <v>351</v>
      </c>
      <c r="B328" s="2">
        <v>45607</v>
      </c>
      <c r="C328" s="2" t="str">
        <f>TEXT(E_Commerce_data[[#This Row],[order_date]],"MMM")</f>
        <v>Nov</v>
      </c>
      <c r="D328" s="1" t="s">
        <v>60</v>
      </c>
      <c r="E328" s="1" t="s">
        <v>61</v>
      </c>
      <c r="F328" s="1" t="s">
        <v>18</v>
      </c>
      <c r="G328" s="1" t="s">
        <v>19</v>
      </c>
      <c r="H328" s="2">
        <v>45507</v>
      </c>
      <c r="I328" s="1" t="s">
        <v>315</v>
      </c>
      <c r="J328" s="1" t="s">
        <v>316</v>
      </c>
      <c r="K328" s="1" t="s">
        <v>22</v>
      </c>
      <c r="L328" s="1">
        <v>16937.37</v>
      </c>
      <c r="M328" s="1">
        <v>5</v>
      </c>
      <c r="N328" s="1">
        <v>0.05</v>
      </c>
      <c r="O328" s="1">
        <v>80452.509999999995</v>
      </c>
      <c r="P328" s="1">
        <v>16740.580000000002</v>
      </c>
    </row>
    <row r="329" spans="1:16" x14ac:dyDescent="0.3">
      <c r="A329" s="1" t="s">
        <v>585</v>
      </c>
      <c r="B329" s="2">
        <v>45905</v>
      </c>
      <c r="C329" s="2" t="str">
        <f>TEXT(E_Commerce_data[[#This Row],[order_date]],"MMM")</f>
        <v>Sep</v>
      </c>
      <c r="D329" s="1" t="s">
        <v>171</v>
      </c>
      <c r="E329" s="1" t="s">
        <v>172</v>
      </c>
      <c r="F329" s="1" t="s">
        <v>47</v>
      </c>
      <c r="G329" s="1" t="s">
        <v>48</v>
      </c>
      <c r="H329" s="2">
        <v>45093</v>
      </c>
      <c r="I329" s="1" t="s">
        <v>558</v>
      </c>
      <c r="J329" s="1" t="s">
        <v>559</v>
      </c>
      <c r="K329" s="1" t="s">
        <v>560</v>
      </c>
      <c r="L329" s="1">
        <v>11049.86</v>
      </c>
      <c r="M329" s="1">
        <v>1</v>
      </c>
      <c r="N329" s="1">
        <v>0</v>
      </c>
      <c r="O329" s="1">
        <v>11049.86</v>
      </c>
      <c r="P329" s="1">
        <v>1862.77</v>
      </c>
    </row>
    <row r="330" spans="1:16" x14ac:dyDescent="0.3">
      <c r="A330" s="1" t="s">
        <v>352</v>
      </c>
      <c r="B330" s="2">
        <v>45508</v>
      </c>
      <c r="C330" s="2" t="str">
        <f>TEXT(E_Commerce_data[[#This Row],[order_date]],"MMM")</f>
        <v>Aug</v>
      </c>
      <c r="D330" s="1" t="s">
        <v>199</v>
      </c>
      <c r="E330" s="1" t="s">
        <v>200</v>
      </c>
      <c r="F330" s="1" t="s">
        <v>36</v>
      </c>
      <c r="G330" s="1" t="s">
        <v>32</v>
      </c>
      <c r="H330" s="2">
        <v>45196</v>
      </c>
      <c r="I330" s="1" t="s">
        <v>315</v>
      </c>
      <c r="J330" s="1" t="s">
        <v>316</v>
      </c>
      <c r="K330" s="1" t="s">
        <v>22</v>
      </c>
      <c r="L330" s="1">
        <v>16937.37</v>
      </c>
      <c r="M330" s="1">
        <v>1</v>
      </c>
      <c r="N330" s="1">
        <v>0</v>
      </c>
      <c r="O330" s="1">
        <v>16937.37</v>
      </c>
      <c r="P330" s="1">
        <v>1885.59</v>
      </c>
    </row>
    <row r="331" spans="1:16" x14ac:dyDescent="0.3">
      <c r="A331" s="1" t="s">
        <v>919</v>
      </c>
      <c r="B331" s="2">
        <v>45627</v>
      </c>
      <c r="C331" s="2" t="str">
        <f>TEXT(E_Commerce_data[[#This Row],[order_date]],"MMM")</f>
        <v>Dec</v>
      </c>
      <c r="D331" s="1" t="s">
        <v>57</v>
      </c>
      <c r="E331" s="1" t="s">
        <v>58</v>
      </c>
      <c r="F331" s="1" t="s">
        <v>55</v>
      </c>
      <c r="G331" s="1" t="s">
        <v>27</v>
      </c>
      <c r="H331" s="2">
        <v>45391</v>
      </c>
      <c r="I331" s="1" t="s">
        <v>900</v>
      </c>
      <c r="J331" s="1" t="s">
        <v>901</v>
      </c>
      <c r="K331" s="1" t="s">
        <v>902</v>
      </c>
      <c r="L331" s="1">
        <v>42988.79</v>
      </c>
      <c r="M331" s="1">
        <v>2</v>
      </c>
      <c r="N331" s="1">
        <v>0.2</v>
      </c>
      <c r="O331" s="1">
        <v>68782.06</v>
      </c>
      <c r="P331" s="1">
        <v>8711.65</v>
      </c>
    </row>
    <row r="332" spans="1:16" x14ac:dyDescent="0.3">
      <c r="A332" s="1" t="s">
        <v>353</v>
      </c>
      <c r="B332" s="2">
        <v>45732</v>
      </c>
      <c r="C332" s="2" t="str">
        <f>TEXT(E_Commerce_data[[#This Row],[order_date]],"MMM")</f>
        <v>Mar</v>
      </c>
      <c r="D332" s="1" t="s">
        <v>354</v>
      </c>
      <c r="E332" s="1" t="s">
        <v>355</v>
      </c>
      <c r="F332" s="1" t="s">
        <v>26</v>
      </c>
      <c r="G332" s="1" t="s">
        <v>27</v>
      </c>
      <c r="H332" s="2">
        <v>45582</v>
      </c>
      <c r="I332" s="1" t="s">
        <v>315</v>
      </c>
      <c r="J332" s="1" t="s">
        <v>316</v>
      </c>
      <c r="K332" s="1" t="s">
        <v>22</v>
      </c>
      <c r="L332" s="1">
        <v>16937.37</v>
      </c>
      <c r="M332" s="1">
        <v>1</v>
      </c>
      <c r="N332" s="1">
        <v>0</v>
      </c>
      <c r="O332" s="1">
        <v>16937.37</v>
      </c>
      <c r="P332" s="1">
        <v>3374.19</v>
      </c>
    </row>
    <row r="333" spans="1:16" x14ac:dyDescent="0.3">
      <c r="A333" s="1" t="s">
        <v>785</v>
      </c>
      <c r="B333" s="2">
        <v>46012</v>
      </c>
      <c r="C333" s="2" t="str">
        <f>TEXT(E_Commerce_data[[#This Row],[order_date]],"MMM")</f>
        <v>Dec</v>
      </c>
      <c r="D333" s="1" t="s">
        <v>233</v>
      </c>
      <c r="E333" s="1" t="s">
        <v>234</v>
      </c>
      <c r="F333" s="1" t="s">
        <v>72</v>
      </c>
      <c r="G333" s="1" t="s">
        <v>48</v>
      </c>
      <c r="H333" s="2">
        <v>45321</v>
      </c>
      <c r="I333" s="1" t="s">
        <v>763</v>
      </c>
      <c r="J333" s="1" t="s">
        <v>764</v>
      </c>
      <c r="K333" s="1" t="s">
        <v>560</v>
      </c>
      <c r="L333" s="1">
        <v>11485.64</v>
      </c>
      <c r="M333" s="1">
        <v>2</v>
      </c>
      <c r="N333" s="1">
        <v>0</v>
      </c>
      <c r="O333" s="1">
        <v>22971.279999999999</v>
      </c>
      <c r="P333" s="1">
        <v>3768.72</v>
      </c>
    </row>
    <row r="334" spans="1:16" x14ac:dyDescent="0.3">
      <c r="A334" s="1" t="s">
        <v>1193</v>
      </c>
      <c r="B334" s="2">
        <v>45976</v>
      </c>
      <c r="C334" s="2" t="str">
        <f>TEXT(E_Commerce_data[[#This Row],[order_date]],"MMM")</f>
        <v>Nov</v>
      </c>
      <c r="D334" s="1" t="s">
        <v>255</v>
      </c>
      <c r="E334" s="1" t="s">
        <v>256</v>
      </c>
      <c r="F334" s="1" t="s">
        <v>26</v>
      </c>
      <c r="G334" s="1" t="s">
        <v>27</v>
      </c>
      <c r="H334" s="2">
        <v>45372</v>
      </c>
      <c r="I334" s="1" t="s">
        <v>1162</v>
      </c>
      <c r="J334" s="1" t="s">
        <v>1163</v>
      </c>
      <c r="K334" s="1" t="s">
        <v>902</v>
      </c>
      <c r="L334" s="1">
        <v>10751.13</v>
      </c>
      <c r="M334" s="1">
        <v>2</v>
      </c>
      <c r="N334" s="1">
        <v>0.1</v>
      </c>
      <c r="O334" s="1">
        <v>19352.03</v>
      </c>
      <c r="P334" s="1">
        <v>4211.33</v>
      </c>
    </row>
    <row r="335" spans="1:16" x14ac:dyDescent="0.3">
      <c r="A335" s="1" t="s">
        <v>265</v>
      </c>
      <c r="B335" s="2">
        <v>45335</v>
      </c>
      <c r="C335" s="2" t="str">
        <f>TEXT(E_Commerce_data[[#This Row],[order_date]],"MMM")</f>
        <v>Feb</v>
      </c>
      <c r="D335" s="1" t="s">
        <v>266</v>
      </c>
      <c r="E335" s="1" t="s">
        <v>267</v>
      </c>
      <c r="F335" s="1" t="s">
        <v>72</v>
      </c>
      <c r="G335" s="1" t="s">
        <v>48</v>
      </c>
      <c r="H335" s="2">
        <v>45316</v>
      </c>
      <c r="I335" s="1" t="s">
        <v>215</v>
      </c>
      <c r="J335" s="1" t="s">
        <v>216</v>
      </c>
      <c r="K335" s="1" t="s">
        <v>22</v>
      </c>
      <c r="L335" s="1">
        <v>11273.63</v>
      </c>
      <c r="M335" s="1">
        <v>3</v>
      </c>
      <c r="N335" s="1">
        <v>0</v>
      </c>
      <c r="O335" s="1">
        <v>33820.89</v>
      </c>
      <c r="P335" s="1">
        <v>5719.83</v>
      </c>
    </row>
    <row r="336" spans="1:16" x14ac:dyDescent="0.3">
      <c r="A336" s="1" t="s">
        <v>786</v>
      </c>
      <c r="B336" s="2">
        <v>45371</v>
      </c>
      <c r="C336" s="2" t="str">
        <f>TEXT(E_Commerce_data[[#This Row],[order_date]],"MMM")</f>
        <v>Mar</v>
      </c>
      <c r="D336" s="1" t="s">
        <v>444</v>
      </c>
      <c r="E336" s="1" t="s">
        <v>445</v>
      </c>
      <c r="F336" s="1" t="s">
        <v>76</v>
      </c>
      <c r="G336" s="1" t="s">
        <v>32</v>
      </c>
      <c r="H336" s="2">
        <v>45123</v>
      </c>
      <c r="I336" s="1" t="s">
        <v>763</v>
      </c>
      <c r="J336" s="1" t="s">
        <v>764</v>
      </c>
      <c r="K336" s="1" t="s">
        <v>560</v>
      </c>
      <c r="L336" s="1">
        <v>11485.64</v>
      </c>
      <c r="M336" s="1">
        <v>4</v>
      </c>
      <c r="N336" s="1">
        <v>0</v>
      </c>
      <c r="O336" s="1">
        <v>45942.559999999998</v>
      </c>
      <c r="P336" s="1">
        <v>8633.81</v>
      </c>
    </row>
    <row r="337" spans="1:16" x14ac:dyDescent="0.3">
      <c r="A337" s="1" t="s">
        <v>1118</v>
      </c>
      <c r="B337" s="2">
        <v>45706</v>
      </c>
      <c r="C337" s="2" t="str">
        <f>TEXT(E_Commerce_data[[#This Row],[order_date]],"MMM")</f>
        <v>Feb</v>
      </c>
      <c r="D337" s="1" t="s">
        <v>384</v>
      </c>
      <c r="E337" s="1" t="s">
        <v>385</v>
      </c>
      <c r="F337" s="1" t="s">
        <v>93</v>
      </c>
      <c r="G337" s="1" t="s">
        <v>27</v>
      </c>
      <c r="H337" s="2">
        <v>45055</v>
      </c>
      <c r="I337" s="1" t="s">
        <v>1102</v>
      </c>
      <c r="J337" s="1" t="s">
        <v>1103</v>
      </c>
      <c r="K337" s="1" t="s">
        <v>902</v>
      </c>
      <c r="L337" s="1">
        <v>33465.440000000002</v>
      </c>
      <c r="M337" s="1">
        <v>3</v>
      </c>
      <c r="N337" s="1">
        <v>0.1</v>
      </c>
      <c r="O337" s="1">
        <v>90356.69</v>
      </c>
      <c r="P337" s="1">
        <v>16154.45</v>
      </c>
    </row>
    <row r="338" spans="1:16" x14ac:dyDescent="0.3">
      <c r="A338" s="1" t="s">
        <v>356</v>
      </c>
      <c r="B338" s="2">
        <v>45313</v>
      </c>
      <c r="C338" s="2" t="str">
        <f>TEXT(E_Commerce_data[[#This Row],[order_date]],"MMM")</f>
        <v>Jan</v>
      </c>
      <c r="D338" s="1" t="s">
        <v>287</v>
      </c>
      <c r="E338" s="1" t="s">
        <v>288</v>
      </c>
      <c r="F338" s="1" t="s">
        <v>18</v>
      </c>
      <c r="G338" s="1" t="s">
        <v>19</v>
      </c>
      <c r="H338" s="2">
        <v>44959</v>
      </c>
      <c r="I338" s="1" t="s">
        <v>315</v>
      </c>
      <c r="J338" s="1" t="s">
        <v>316</v>
      </c>
      <c r="K338" s="1" t="s">
        <v>22</v>
      </c>
      <c r="L338" s="1">
        <v>16937.37</v>
      </c>
      <c r="M338" s="1">
        <v>4</v>
      </c>
      <c r="N338" s="1">
        <v>0</v>
      </c>
      <c r="O338" s="1">
        <v>67749.48</v>
      </c>
      <c r="P338" s="1">
        <v>5728.35</v>
      </c>
    </row>
    <row r="339" spans="1:16" x14ac:dyDescent="0.3">
      <c r="A339" s="1" t="s">
        <v>851</v>
      </c>
      <c r="B339" s="2">
        <v>45924</v>
      </c>
      <c r="C339" s="2" t="str">
        <f>TEXT(E_Commerce_data[[#This Row],[order_date]],"MMM")</f>
        <v>Sep</v>
      </c>
      <c r="D339" s="1" t="s">
        <v>189</v>
      </c>
      <c r="E339" s="1" t="s">
        <v>190</v>
      </c>
      <c r="F339" s="1" t="s">
        <v>26</v>
      </c>
      <c r="G339" s="1" t="s">
        <v>27</v>
      </c>
      <c r="H339" s="2">
        <v>45645</v>
      </c>
      <c r="I339" s="1" t="s">
        <v>822</v>
      </c>
      <c r="J339" s="1" t="s">
        <v>823</v>
      </c>
      <c r="K339" s="1" t="s">
        <v>560</v>
      </c>
      <c r="L339" s="1">
        <v>45275.73</v>
      </c>
      <c r="M339" s="1">
        <v>3</v>
      </c>
      <c r="N339" s="1">
        <v>0</v>
      </c>
      <c r="O339" s="1">
        <v>135827.19</v>
      </c>
      <c r="P339" s="1">
        <v>39443.760000000002</v>
      </c>
    </row>
    <row r="340" spans="1:16" x14ac:dyDescent="0.3">
      <c r="A340" s="1" t="s">
        <v>787</v>
      </c>
      <c r="B340" s="2">
        <v>45662</v>
      </c>
      <c r="C340" s="2" t="str">
        <f>TEXT(E_Commerce_data[[#This Row],[order_date]],"MMM")</f>
        <v>Jan</v>
      </c>
      <c r="D340" s="1" t="s">
        <v>444</v>
      </c>
      <c r="E340" s="1" t="s">
        <v>445</v>
      </c>
      <c r="F340" s="1" t="s">
        <v>76</v>
      </c>
      <c r="G340" s="1" t="s">
        <v>32</v>
      </c>
      <c r="H340" s="2">
        <v>45123</v>
      </c>
      <c r="I340" s="1" t="s">
        <v>763</v>
      </c>
      <c r="J340" s="1" t="s">
        <v>764</v>
      </c>
      <c r="K340" s="1" t="s">
        <v>560</v>
      </c>
      <c r="L340" s="1">
        <v>11485.64</v>
      </c>
      <c r="M340" s="1">
        <v>4</v>
      </c>
      <c r="N340" s="1">
        <v>0.2</v>
      </c>
      <c r="O340" s="1">
        <v>36754.050000000003</v>
      </c>
      <c r="P340" s="1">
        <v>9441.49</v>
      </c>
    </row>
    <row r="341" spans="1:16" x14ac:dyDescent="0.3">
      <c r="A341" s="1" t="s">
        <v>992</v>
      </c>
      <c r="B341" s="2">
        <v>45541</v>
      </c>
      <c r="C341" s="2" t="str">
        <f>TEXT(E_Commerce_data[[#This Row],[order_date]],"MMM")</f>
        <v>Sep</v>
      </c>
      <c r="D341" s="1" t="s">
        <v>263</v>
      </c>
      <c r="E341" s="1" t="s">
        <v>264</v>
      </c>
      <c r="F341" s="1" t="s">
        <v>36</v>
      </c>
      <c r="G341" s="1" t="s">
        <v>32</v>
      </c>
      <c r="H341" s="2">
        <v>45397</v>
      </c>
      <c r="I341" s="1" t="s">
        <v>964</v>
      </c>
      <c r="J341" s="1" t="s">
        <v>965</v>
      </c>
      <c r="K341" s="1" t="s">
        <v>902</v>
      </c>
      <c r="L341" s="1">
        <v>3589.32</v>
      </c>
      <c r="M341" s="1">
        <v>1</v>
      </c>
      <c r="N341" s="1">
        <v>0.05</v>
      </c>
      <c r="O341" s="1">
        <v>3409.85</v>
      </c>
      <c r="P341" s="1">
        <v>1034.3599999999999</v>
      </c>
    </row>
    <row r="342" spans="1:16" x14ac:dyDescent="0.3">
      <c r="A342" s="1" t="s">
        <v>357</v>
      </c>
      <c r="B342" s="2">
        <v>45372</v>
      </c>
      <c r="C342" s="2" t="str">
        <f>TEXT(E_Commerce_data[[#This Row],[order_date]],"MMM")</f>
        <v>Mar</v>
      </c>
      <c r="D342" s="1" t="s">
        <v>171</v>
      </c>
      <c r="E342" s="1" t="s">
        <v>172</v>
      </c>
      <c r="F342" s="1" t="s">
        <v>47</v>
      </c>
      <c r="G342" s="1" t="s">
        <v>48</v>
      </c>
      <c r="H342" s="2">
        <v>45093</v>
      </c>
      <c r="I342" s="1" t="s">
        <v>315</v>
      </c>
      <c r="J342" s="1" t="s">
        <v>316</v>
      </c>
      <c r="K342" s="1" t="s">
        <v>22</v>
      </c>
      <c r="L342" s="1">
        <v>16937.37</v>
      </c>
      <c r="M342" s="1">
        <v>4</v>
      </c>
      <c r="N342" s="1">
        <v>0.1</v>
      </c>
      <c r="O342" s="1">
        <v>60974.53</v>
      </c>
      <c r="P342" s="1">
        <v>10373.9</v>
      </c>
    </row>
    <row r="343" spans="1:16" x14ac:dyDescent="0.3">
      <c r="A343" s="1" t="s">
        <v>438</v>
      </c>
      <c r="B343" s="2">
        <v>45639</v>
      </c>
      <c r="C343" s="2" t="str">
        <f>TEXT(E_Commerce_data[[#This Row],[order_date]],"MMM")</f>
        <v>Dec</v>
      </c>
      <c r="D343" s="1" t="s">
        <v>34</v>
      </c>
      <c r="E343" s="1" t="s">
        <v>35</v>
      </c>
      <c r="F343" s="1" t="s">
        <v>36</v>
      </c>
      <c r="G343" s="1" t="s">
        <v>32</v>
      </c>
      <c r="H343" s="2">
        <v>45041</v>
      </c>
      <c r="I343" s="1" t="s">
        <v>420</v>
      </c>
      <c r="J343" s="1" t="s">
        <v>421</v>
      </c>
      <c r="K343" s="1" t="s">
        <v>22</v>
      </c>
      <c r="L343" s="1">
        <v>29436.02</v>
      </c>
      <c r="M343" s="1">
        <v>4</v>
      </c>
      <c r="N343" s="1">
        <v>0.2</v>
      </c>
      <c r="O343" s="1">
        <v>94195.26</v>
      </c>
      <c r="P343" s="1">
        <v>13477.68</v>
      </c>
    </row>
    <row r="344" spans="1:16" x14ac:dyDescent="0.3">
      <c r="A344" s="1" t="s">
        <v>993</v>
      </c>
      <c r="B344" s="2">
        <v>45370</v>
      </c>
      <c r="C344" s="2" t="str">
        <f>TEXT(E_Commerce_data[[#This Row],[order_date]],"MMM")</f>
        <v>Mar</v>
      </c>
      <c r="D344" s="1" t="s">
        <v>212</v>
      </c>
      <c r="E344" s="1" t="s">
        <v>213</v>
      </c>
      <c r="F344" s="1" t="s">
        <v>18</v>
      </c>
      <c r="G344" s="1" t="s">
        <v>19</v>
      </c>
      <c r="H344" s="2">
        <v>45613</v>
      </c>
      <c r="I344" s="1" t="s">
        <v>964</v>
      </c>
      <c r="J344" s="1" t="s">
        <v>965</v>
      </c>
      <c r="K344" s="1" t="s">
        <v>902</v>
      </c>
      <c r="L344" s="1">
        <v>3589.32</v>
      </c>
      <c r="M344" s="1">
        <v>2</v>
      </c>
      <c r="N344" s="1">
        <v>0</v>
      </c>
      <c r="O344" s="1">
        <v>7178.64</v>
      </c>
      <c r="P344" s="1">
        <v>2036.83</v>
      </c>
    </row>
    <row r="345" spans="1:16" x14ac:dyDescent="0.3">
      <c r="A345" s="1" t="s">
        <v>655</v>
      </c>
      <c r="B345" s="2">
        <v>45814</v>
      </c>
      <c r="C345" s="2" t="str">
        <f>TEXT(E_Commerce_data[[#This Row],[order_date]],"MMM")</f>
        <v>Jun</v>
      </c>
      <c r="D345" s="1" t="s">
        <v>318</v>
      </c>
      <c r="E345" s="1" t="s">
        <v>319</v>
      </c>
      <c r="F345" s="1" t="s">
        <v>93</v>
      </c>
      <c r="G345" s="1" t="s">
        <v>27</v>
      </c>
      <c r="H345" s="2">
        <v>45054</v>
      </c>
      <c r="I345" s="1" t="s">
        <v>633</v>
      </c>
      <c r="J345" s="1" t="s">
        <v>634</v>
      </c>
      <c r="K345" s="1" t="s">
        <v>560</v>
      </c>
      <c r="L345" s="1">
        <v>3596.1</v>
      </c>
      <c r="M345" s="1">
        <v>5</v>
      </c>
      <c r="N345" s="1">
        <v>0.15</v>
      </c>
      <c r="O345" s="1">
        <v>15283.42</v>
      </c>
      <c r="P345" s="1">
        <v>1286.99</v>
      </c>
    </row>
    <row r="346" spans="1:16" x14ac:dyDescent="0.3">
      <c r="A346" s="1" t="s">
        <v>656</v>
      </c>
      <c r="B346" s="2">
        <v>45952</v>
      </c>
      <c r="C346" s="2" t="str">
        <f>TEXT(E_Commerce_data[[#This Row],[order_date]],"MMM")</f>
        <v>Oct</v>
      </c>
      <c r="D346" s="1" t="s">
        <v>82</v>
      </c>
      <c r="E346" s="1" t="s">
        <v>83</v>
      </c>
      <c r="F346" s="1" t="s">
        <v>47</v>
      </c>
      <c r="G346" s="1" t="s">
        <v>48</v>
      </c>
      <c r="H346" s="2">
        <v>45279</v>
      </c>
      <c r="I346" s="1" t="s">
        <v>633</v>
      </c>
      <c r="J346" s="1" t="s">
        <v>634</v>
      </c>
      <c r="K346" s="1" t="s">
        <v>560</v>
      </c>
      <c r="L346" s="1">
        <v>3596.1</v>
      </c>
      <c r="M346" s="1">
        <v>2</v>
      </c>
      <c r="N346" s="1">
        <v>0.2</v>
      </c>
      <c r="O346" s="1">
        <v>5753.76</v>
      </c>
      <c r="P346" s="1">
        <v>890.75</v>
      </c>
    </row>
    <row r="347" spans="1:16" x14ac:dyDescent="0.3">
      <c r="A347" s="1" t="s">
        <v>1194</v>
      </c>
      <c r="B347" s="2">
        <v>45554</v>
      </c>
      <c r="C347" s="2" t="str">
        <f>TEXT(E_Commerce_data[[#This Row],[order_date]],"MMM")</f>
        <v>Sep</v>
      </c>
      <c r="D347" s="1" t="s">
        <v>354</v>
      </c>
      <c r="E347" s="1" t="s">
        <v>355</v>
      </c>
      <c r="F347" s="1" t="s">
        <v>26</v>
      </c>
      <c r="G347" s="1" t="s">
        <v>27</v>
      </c>
      <c r="H347" s="2">
        <v>45582</v>
      </c>
      <c r="I347" s="1" t="s">
        <v>1162</v>
      </c>
      <c r="J347" s="1" t="s">
        <v>1163</v>
      </c>
      <c r="K347" s="1" t="s">
        <v>902</v>
      </c>
      <c r="L347" s="1">
        <v>10751.13</v>
      </c>
      <c r="M347" s="1">
        <v>2</v>
      </c>
      <c r="N347" s="1">
        <v>0</v>
      </c>
      <c r="O347" s="1">
        <v>21502.26</v>
      </c>
      <c r="P347" s="1">
        <v>1738.27</v>
      </c>
    </row>
    <row r="348" spans="1:16" x14ac:dyDescent="0.3">
      <c r="A348" s="1" t="s">
        <v>516</v>
      </c>
      <c r="B348" s="2">
        <v>45963</v>
      </c>
      <c r="C348" s="2" t="str">
        <f>TEXT(E_Commerce_data[[#This Row],[order_date]],"MMM")</f>
        <v>Nov</v>
      </c>
      <c r="D348" s="1" t="s">
        <v>57</v>
      </c>
      <c r="E348" s="1" t="s">
        <v>58</v>
      </c>
      <c r="F348" s="1" t="s">
        <v>55</v>
      </c>
      <c r="G348" s="1" t="s">
        <v>27</v>
      </c>
      <c r="H348" s="2">
        <v>45391</v>
      </c>
      <c r="I348" s="1" t="s">
        <v>489</v>
      </c>
      <c r="J348" s="1" t="s">
        <v>490</v>
      </c>
      <c r="K348" s="1" t="s">
        <v>22</v>
      </c>
      <c r="L348" s="1">
        <v>11544.23</v>
      </c>
      <c r="M348" s="1">
        <v>2</v>
      </c>
      <c r="N348" s="1">
        <v>0</v>
      </c>
      <c r="O348" s="1">
        <v>23088.46</v>
      </c>
      <c r="P348" s="1">
        <v>5326.96</v>
      </c>
    </row>
    <row r="349" spans="1:16" x14ac:dyDescent="0.3">
      <c r="A349" s="1" t="s">
        <v>517</v>
      </c>
      <c r="B349" s="2">
        <v>45935</v>
      </c>
      <c r="C349" s="2" t="str">
        <f>TEXT(E_Commerce_data[[#This Row],[order_date]],"MMM")</f>
        <v>Oct</v>
      </c>
      <c r="D349" s="1" t="s">
        <v>453</v>
      </c>
      <c r="E349" s="1" t="s">
        <v>454</v>
      </c>
      <c r="F349" s="1" t="s">
        <v>31</v>
      </c>
      <c r="G349" s="1" t="s">
        <v>32</v>
      </c>
      <c r="H349" s="2">
        <v>45143</v>
      </c>
      <c r="I349" s="1" t="s">
        <v>489</v>
      </c>
      <c r="J349" s="1" t="s">
        <v>490</v>
      </c>
      <c r="K349" s="1" t="s">
        <v>22</v>
      </c>
      <c r="L349" s="1">
        <v>11544.23</v>
      </c>
      <c r="M349" s="1">
        <v>1</v>
      </c>
      <c r="N349" s="1">
        <v>0</v>
      </c>
      <c r="O349" s="1">
        <v>11544.23</v>
      </c>
      <c r="P349" s="1">
        <v>3871.79</v>
      </c>
    </row>
    <row r="350" spans="1:16" x14ac:dyDescent="0.3">
      <c r="A350" s="1" t="s">
        <v>852</v>
      </c>
      <c r="B350" s="2">
        <v>45885</v>
      </c>
      <c r="C350" s="2" t="str">
        <f>TEXT(E_Commerce_data[[#This Row],[order_date]],"MMM")</f>
        <v>Aug</v>
      </c>
      <c r="D350" s="1" t="s">
        <v>99</v>
      </c>
      <c r="E350" s="1" t="s">
        <v>100</v>
      </c>
      <c r="F350" s="1" t="s">
        <v>43</v>
      </c>
      <c r="G350" s="1" t="s">
        <v>32</v>
      </c>
      <c r="H350" s="2">
        <v>45468</v>
      </c>
      <c r="I350" s="1" t="s">
        <v>822</v>
      </c>
      <c r="J350" s="1" t="s">
        <v>823</v>
      </c>
      <c r="K350" s="1" t="s">
        <v>560</v>
      </c>
      <c r="L350" s="1">
        <v>45275.73</v>
      </c>
      <c r="M350" s="1">
        <v>4</v>
      </c>
      <c r="N350" s="1">
        <v>0.05</v>
      </c>
      <c r="O350" s="1">
        <v>172047.77</v>
      </c>
      <c r="P350" s="1">
        <v>47542.61</v>
      </c>
    </row>
    <row r="351" spans="1:16" x14ac:dyDescent="0.3">
      <c r="A351" s="1" t="s">
        <v>994</v>
      </c>
      <c r="B351" s="2">
        <v>45870</v>
      </c>
      <c r="C351" s="2" t="str">
        <f>TEXT(E_Commerce_data[[#This Row],[order_date]],"MMM")</f>
        <v>Aug</v>
      </c>
      <c r="D351" s="1" t="s">
        <v>335</v>
      </c>
      <c r="E351" s="1" t="s">
        <v>336</v>
      </c>
      <c r="F351" s="1" t="s">
        <v>43</v>
      </c>
      <c r="G351" s="1" t="s">
        <v>32</v>
      </c>
      <c r="H351" s="2">
        <v>45315</v>
      </c>
      <c r="I351" s="1" t="s">
        <v>964</v>
      </c>
      <c r="J351" s="1" t="s">
        <v>965</v>
      </c>
      <c r="K351" s="1" t="s">
        <v>902</v>
      </c>
      <c r="L351" s="1">
        <v>3589.32</v>
      </c>
      <c r="M351" s="1">
        <v>4</v>
      </c>
      <c r="N351" s="1">
        <v>0.15</v>
      </c>
      <c r="O351" s="1">
        <v>12203.69</v>
      </c>
      <c r="P351" s="1">
        <v>3993.61</v>
      </c>
    </row>
    <row r="352" spans="1:16" x14ac:dyDescent="0.3">
      <c r="A352" s="1" t="s">
        <v>724</v>
      </c>
      <c r="B352" s="2">
        <v>45934</v>
      </c>
      <c r="C352" s="2" t="str">
        <f>TEXT(E_Commerce_data[[#This Row],[order_date]],"MMM")</f>
        <v>Oct</v>
      </c>
      <c r="D352" s="1" t="s">
        <v>387</v>
      </c>
      <c r="E352" s="1" t="s">
        <v>388</v>
      </c>
      <c r="F352" s="1" t="s">
        <v>26</v>
      </c>
      <c r="G352" s="1" t="s">
        <v>27</v>
      </c>
      <c r="H352" s="2">
        <v>45335</v>
      </c>
      <c r="I352" s="1" t="s">
        <v>706</v>
      </c>
      <c r="J352" s="1" t="s">
        <v>707</v>
      </c>
      <c r="K352" s="1" t="s">
        <v>560</v>
      </c>
      <c r="L352" s="1">
        <v>31573.59</v>
      </c>
      <c r="M352" s="1">
        <v>5</v>
      </c>
      <c r="N352" s="1">
        <v>0</v>
      </c>
      <c r="O352" s="1">
        <v>157867.95000000001</v>
      </c>
      <c r="P352" s="1">
        <v>48824.46</v>
      </c>
    </row>
    <row r="353" spans="1:16" x14ac:dyDescent="0.3">
      <c r="A353" s="1" t="s">
        <v>268</v>
      </c>
      <c r="B353" s="2">
        <v>45772</v>
      </c>
      <c r="C353" s="2" t="str">
        <f>TEXT(E_Commerce_data[[#This Row],[order_date]],"MMM")</f>
        <v>Apr</v>
      </c>
      <c r="D353" s="1" t="s">
        <v>269</v>
      </c>
      <c r="E353" s="1" t="s">
        <v>270</v>
      </c>
      <c r="F353" s="1" t="s">
        <v>18</v>
      </c>
      <c r="G353" s="1" t="s">
        <v>19</v>
      </c>
      <c r="H353" s="2">
        <v>45271</v>
      </c>
      <c r="I353" s="1" t="s">
        <v>215</v>
      </c>
      <c r="J353" s="1" t="s">
        <v>216</v>
      </c>
      <c r="K353" s="1" t="s">
        <v>22</v>
      </c>
      <c r="L353" s="1">
        <v>11273.63</v>
      </c>
      <c r="M353" s="1">
        <v>3</v>
      </c>
      <c r="N353" s="1">
        <v>0</v>
      </c>
      <c r="O353" s="1">
        <v>33820.89</v>
      </c>
      <c r="P353" s="1">
        <v>6153</v>
      </c>
    </row>
    <row r="354" spans="1:16" x14ac:dyDescent="0.3">
      <c r="A354" s="1" t="s">
        <v>1195</v>
      </c>
      <c r="B354" s="2">
        <v>45573</v>
      </c>
      <c r="C354" s="2" t="str">
        <f>TEXT(E_Commerce_data[[#This Row],[order_date]],"MMM")</f>
        <v>Oct</v>
      </c>
      <c r="D354" s="1" t="s">
        <v>233</v>
      </c>
      <c r="E354" s="1" t="s">
        <v>234</v>
      </c>
      <c r="F354" s="1" t="s">
        <v>72</v>
      </c>
      <c r="G354" s="1" t="s">
        <v>48</v>
      </c>
      <c r="H354" s="2">
        <v>45321</v>
      </c>
      <c r="I354" s="1" t="s">
        <v>1162</v>
      </c>
      <c r="J354" s="1" t="s">
        <v>1163</v>
      </c>
      <c r="K354" s="1" t="s">
        <v>902</v>
      </c>
      <c r="L354" s="1">
        <v>10751.13</v>
      </c>
      <c r="M354" s="1">
        <v>4</v>
      </c>
      <c r="N354" s="1">
        <v>0.15</v>
      </c>
      <c r="O354" s="1">
        <v>36553.839999999997</v>
      </c>
      <c r="P354" s="1">
        <v>5148.47</v>
      </c>
    </row>
    <row r="355" spans="1:16" x14ac:dyDescent="0.3">
      <c r="A355" s="1" t="s">
        <v>657</v>
      </c>
      <c r="B355" s="2">
        <v>45367</v>
      </c>
      <c r="C355" s="2" t="str">
        <f>TEXT(E_Commerce_data[[#This Row],[order_date]],"MMM")</f>
        <v>Mar</v>
      </c>
      <c r="D355" s="1" t="s">
        <v>371</v>
      </c>
      <c r="E355" s="1" t="s">
        <v>372</v>
      </c>
      <c r="F355" s="1" t="s">
        <v>31</v>
      </c>
      <c r="G355" s="1" t="s">
        <v>32</v>
      </c>
      <c r="H355" s="2">
        <v>45007</v>
      </c>
      <c r="I355" s="1" t="s">
        <v>633</v>
      </c>
      <c r="J355" s="1" t="s">
        <v>634</v>
      </c>
      <c r="K355" s="1" t="s">
        <v>560</v>
      </c>
      <c r="L355" s="1">
        <v>3596.1</v>
      </c>
      <c r="M355" s="1">
        <v>5</v>
      </c>
      <c r="N355" s="1">
        <v>0</v>
      </c>
      <c r="O355" s="1">
        <v>17980.5</v>
      </c>
      <c r="P355" s="1">
        <v>2797.45</v>
      </c>
    </row>
    <row r="356" spans="1:16" x14ac:dyDescent="0.3">
      <c r="A356" s="1" t="s">
        <v>439</v>
      </c>
      <c r="B356" s="2">
        <v>45350</v>
      </c>
      <c r="C356" s="2" t="str">
        <f>TEXT(E_Commerce_data[[#This Row],[order_date]],"MMM")</f>
        <v>Feb</v>
      </c>
      <c r="D356" s="1" t="s">
        <v>82</v>
      </c>
      <c r="E356" s="1" t="s">
        <v>83</v>
      </c>
      <c r="F356" s="1" t="s">
        <v>47</v>
      </c>
      <c r="G356" s="1" t="s">
        <v>48</v>
      </c>
      <c r="H356" s="2">
        <v>45279</v>
      </c>
      <c r="I356" s="1" t="s">
        <v>420</v>
      </c>
      <c r="J356" s="1" t="s">
        <v>421</v>
      </c>
      <c r="K356" s="1" t="s">
        <v>22</v>
      </c>
      <c r="L356" s="1">
        <v>29436.02</v>
      </c>
      <c r="M356" s="1">
        <v>3</v>
      </c>
      <c r="N356" s="1">
        <v>0.05</v>
      </c>
      <c r="O356" s="1">
        <v>83892.66</v>
      </c>
      <c r="P356" s="1">
        <v>15568.31</v>
      </c>
    </row>
    <row r="357" spans="1:16" x14ac:dyDescent="0.3">
      <c r="A357" s="1" t="s">
        <v>853</v>
      </c>
      <c r="B357" s="2">
        <v>45952</v>
      </c>
      <c r="C357" s="2" t="str">
        <f>TEXT(E_Commerce_data[[#This Row],[order_date]],"MMM")</f>
        <v>Oct</v>
      </c>
      <c r="D357" s="1" t="s">
        <v>125</v>
      </c>
      <c r="E357" s="1" t="s">
        <v>126</v>
      </c>
      <c r="F357" s="1" t="s">
        <v>72</v>
      </c>
      <c r="G357" s="1" t="s">
        <v>48</v>
      </c>
      <c r="H357" s="2">
        <v>44952</v>
      </c>
      <c r="I357" s="1" t="s">
        <v>822</v>
      </c>
      <c r="J357" s="1" t="s">
        <v>823</v>
      </c>
      <c r="K357" s="1" t="s">
        <v>560</v>
      </c>
      <c r="L357" s="1">
        <v>45275.73</v>
      </c>
      <c r="M357" s="1">
        <v>3</v>
      </c>
      <c r="N357" s="1">
        <v>0.2</v>
      </c>
      <c r="O357" s="1">
        <v>108661.75</v>
      </c>
      <c r="P357" s="1">
        <v>14791.38</v>
      </c>
    </row>
    <row r="358" spans="1:16" x14ac:dyDescent="0.3">
      <c r="A358" s="1" t="s">
        <v>105</v>
      </c>
      <c r="B358" s="2">
        <v>45685</v>
      </c>
      <c r="C358" s="2" t="str">
        <f>TEXT(E_Commerce_data[[#This Row],[order_date]],"MMM")</f>
        <v>Jan</v>
      </c>
      <c r="D358" s="1" t="s">
        <v>106</v>
      </c>
      <c r="E358" s="1" t="s">
        <v>107</v>
      </c>
      <c r="F358" s="1" t="s">
        <v>47</v>
      </c>
      <c r="G358" s="1" t="s">
        <v>48</v>
      </c>
      <c r="H358" s="2">
        <v>45375</v>
      </c>
      <c r="I358" s="1" t="s">
        <v>20</v>
      </c>
      <c r="J358" s="1" t="s">
        <v>21</v>
      </c>
      <c r="K358" s="1" t="s">
        <v>22</v>
      </c>
      <c r="L358" s="1">
        <v>6094.16</v>
      </c>
      <c r="M358" s="1">
        <v>1</v>
      </c>
      <c r="N358" s="1">
        <v>0.1</v>
      </c>
      <c r="O358" s="1">
        <v>5484.74</v>
      </c>
      <c r="P358" s="1">
        <v>1251.75</v>
      </c>
    </row>
    <row r="359" spans="1:16" x14ac:dyDescent="0.3">
      <c r="A359" s="1" t="s">
        <v>854</v>
      </c>
      <c r="B359" s="2">
        <v>45334</v>
      </c>
      <c r="C359" s="2" t="str">
        <f>TEXT(E_Commerce_data[[#This Row],[order_date]],"MMM")</f>
        <v>Feb</v>
      </c>
      <c r="D359" s="1" t="s">
        <v>186</v>
      </c>
      <c r="E359" s="1" t="s">
        <v>187</v>
      </c>
      <c r="F359" s="1" t="s">
        <v>26</v>
      </c>
      <c r="G359" s="1" t="s">
        <v>27</v>
      </c>
      <c r="H359" s="2">
        <v>45493</v>
      </c>
      <c r="I359" s="1" t="s">
        <v>822</v>
      </c>
      <c r="J359" s="1" t="s">
        <v>823</v>
      </c>
      <c r="K359" s="1" t="s">
        <v>560</v>
      </c>
      <c r="L359" s="1">
        <v>45275.73</v>
      </c>
      <c r="M359" s="1">
        <v>4</v>
      </c>
      <c r="N359" s="1">
        <v>0.1</v>
      </c>
      <c r="O359" s="1">
        <v>162992.63</v>
      </c>
      <c r="P359" s="1">
        <v>35254.480000000003</v>
      </c>
    </row>
    <row r="360" spans="1:16" x14ac:dyDescent="0.3">
      <c r="A360" s="1" t="s">
        <v>788</v>
      </c>
      <c r="B360" s="2">
        <v>45484</v>
      </c>
      <c r="C360" s="2" t="str">
        <f>TEXT(E_Commerce_data[[#This Row],[order_date]],"MMM")</f>
        <v>Jul</v>
      </c>
      <c r="D360" s="1" t="s">
        <v>162</v>
      </c>
      <c r="E360" s="1" t="s">
        <v>163</v>
      </c>
      <c r="F360" s="1" t="s">
        <v>93</v>
      </c>
      <c r="G360" s="1" t="s">
        <v>27</v>
      </c>
      <c r="H360" s="2">
        <v>45200</v>
      </c>
      <c r="I360" s="1" t="s">
        <v>763</v>
      </c>
      <c r="J360" s="1" t="s">
        <v>764</v>
      </c>
      <c r="K360" s="1" t="s">
        <v>560</v>
      </c>
      <c r="L360" s="1">
        <v>11485.64</v>
      </c>
      <c r="M360" s="1">
        <v>4</v>
      </c>
      <c r="N360" s="1">
        <v>0.2</v>
      </c>
      <c r="O360" s="1">
        <v>36754.050000000003</v>
      </c>
      <c r="P360" s="1">
        <v>8140.91</v>
      </c>
    </row>
    <row r="361" spans="1:16" x14ac:dyDescent="0.3">
      <c r="A361" s="1" t="s">
        <v>658</v>
      </c>
      <c r="B361" s="2">
        <v>45446</v>
      </c>
      <c r="C361" s="2" t="str">
        <f>TEXT(E_Commerce_data[[#This Row],[order_date]],"MMM")</f>
        <v>Jun</v>
      </c>
      <c r="D361" s="1" t="s">
        <v>366</v>
      </c>
      <c r="E361" s="1" t="s">
        <v>367</v>
      </c>
      <c r="F361" s="1" t="s">
        <v>47</v>
      </c>
      <c r="G361" s="1" t="s">
        <v>48</v>
      </c>
      <c r="H361" s="2">
        <v>45144</v>
      </c>
      <c r="I361" s="1" t="s">
        <v>633</v>
      </c>
      <c r="J361" s="1" t="s">
        <v>634</v>
      </c>
      <c r="K361" s="1" t="s">
        <v>560</v>
      </c>
      <c r="L361" s="1">
        <v>3596.1</v>
      </c>
      <c r="M361" s="1">
        <v>3</v>
      </c>
      <c r="N361" s="1">
        <v>0.1</v>
      </c>
      <c r="O361" s="1">
        <v>9709.4699999999993</v>
      </c>
      <c r="P361" s="1">
        <v>1870.91</v>
      </c>
    </row>
    <row r="362" spans="1:16" x14ac:dyDescent="0.3">
      <c r="A362" s="1" t="s">
        <v>358</v>
      </c>
      <c r="B362" s="2">
        <v>45643</v>
      </c>
      <c r="C362" s="2" t="str">
        <f>TEXT(E_Commerce_data[[#This Row],[order_date]],"MMM")</f>
        <v>Dec</v>
      </c>
      <c r="D362" s="1" t="s">
        <v>16</v>
      </c>
      <c r="E362" s="1" t="s">
        <v>17</v>
      </c>
      <c r="F362" s="1" t="s">
        <v>18</v>
      </c>
      <c r="G362" s="1" t="s">
        <v>19</v>
      </c>
      <c r="H362" s="2">
        <v>44986</v>
      </c>
      <c r="I362" s="1" t="s">
        <v>315</v>
      </c>
      <c r="J362" s="1" t="s">
        <v>316</v>
      </c>
      <c r="K362" s="1" t="s">
        <v>22</v>
      </c>
      <c r="L362" s="1">
        <v>16937.37</v>
      </c>
      <c r="M362" s="1">
        <v>1</v>
      </c>
      <c r="N362" s="1">
        <v>0.05</v>
      </c>
      <c r="O362" s="1">
        <v>16090.5</v>
      </c>
      <c r="P362" s="1">
        <v>1304.1400000000001</v>
      </c>
    </row>
    <row r="363" spans="1:16" x14ac:dyDescent="0.3">
      <c r="A363" s="1" t="s">
        <v>789</v>
      </c>
      <c r="B363" s="2">
        <v>45332</v>
      </c>
      <c r="C363" s="2" t="str">
        <f>TEXT(E_Commerce_data[[#This Row],[order_date]],"MMM")</f>
        <v>Feb</v>
      </c>
      <c r="D363" s="1" t="s">
        <v>284</v>
      </c>
      <c r="E363" s="1" t="s">
        <v>285</v>
      </c>
      <c r="F363" s="1" t="s">
        <v>47</v>
      </c>
      <c r="G363" s="1" t="s">
        <v>48</v>
      </c>
      <c r="H363" s="2">
        <v>45427</v>
      </c>
      <c r="I363" s="1" t="s">
        <v>763</v>
      </c>
      <c r="J363" s="1" t="s">
        <v>764</v>
      </c>
      <c r="K363" s="1" t="s">
        <v>560</v>
      </c>
      <c r="L363" s="1">
        <v>11485.64</v>
      </c>
      <c r="M363" s="1">
        <v>1</v>
      </c>
      <c r="N363" s="1">
        <v>0.1</v>
      </c>
      <c r="O363" s="1">
        <v>10337.08</v>
      </c>
      <c r="P363" s="1">
        <v>2520.5700000000002</v>
      </c>
    </row>
    <row r="364" spans="1:16" x14ac:dyDescent="0.3">
      <c r="A364" s="1" t="s">
        <v>108</v>
      </c>
      <c r="B364" s="2">
        <v>45741</v>
      </c>
      <c r="C364" s="2" t="str">
        <f>TEXT(E_Commerce_data[[#This Row],[order_date]],"MMM")</f>
        <v>Mar</v>
      </c>
      <c r="D364" s="1" t="s">
        <v>109</v>
      </c>
      <c r="E364" s="1" t="s">
        <v>110</v>
      </c>
      <c r="F364" s="1" t="s">
        <v>31</v>
      </c>
      <c r="G364" s="1" t="s">
        <v>32</v>
      </c>
      <c r="H364" s="2">
        <v>45026</v>
      </c>
      <c r="I364" s="1" t="s">
        <v>20</v>
      </c>
      <c r="J364" s="1" t="s">
        <v>21</v>
      </c>
      <c r="K364" s="1" t="s">
        <v>22</v>
      </c>
      <c r="L364" s="1">
        <v>6094.16</v>
      </c>
      <c r="M364" s="1">
        <v>2</v>
      </c>
      <c r="N364" s="1">
        <v>0.15</v>
      </c>
      <c r="O364" s="1">
        <v>10360.07</v>
      </c>
      <c r="P364" s="1">
        <v>1878.57</v>
      </c>
    </row>
    <row r="365" spans="1:16" x14ac:dyDescent="0.3">
      <c r="A365" s="1" t="s">
        <v>440</v>
      </c>
      <c r="B365" s="2">
        <v>45664</v>
      </c>
      <c r="C365" s="2" t="str">
        <f>TEXT(E_Commerce_data[[#This Row],[order_date]],"MMM")</f>
        <v>Jan</v>
      </c>
      <c r="D365" s="1" t="s">
        <v>34</v>
      </c>
      <c r="E365" s="1" t="s">
        <v>35</v>
      </c>
      <c r="F365" s="1" t="s">
        <v>36</v>
      </c>
      <c r="G365" s="1" t="s">
        <v>32</v>
      </c>
      <c r="H365" s="2">
        <v>45041</v>
      </c>
      <c r="I365" s="1" t="s">
        <v>420</v>
      </c>
      <c r="J365" s="1" t="s">
        <v>421</v>
      </c>
      <c r="K365" s="1" t="s">
        <v>22</v>
      </c>
      <c r="L365" s="1">
        <v>29436.02</v>
      </c>
      <c r="M365" s="1">
        <v>5</v>
      </c>
      <c r="N365" s="1">
        <v>0.1</v>
      </c>
      <c r="O365" s="1">
        <v>132462.09</v>
      </c>
      <c r="P365" s="1">
        <v>30855.93</v>
      </c>
    </row>
    <row r="366" spans="1:16" x14ac:dyDescent="0.3">
      <c r="A366" s="1" t="s">
        <v>995</v>
      </c>
      <c r="B366" s="2">
        <v>45638</v>
      </c>
      <c r="C366" s="2" t="str">
        <f>TEXT(E_Commerce_data[[#This Row],[order_date]],"MMM")</f>
        <v>Dec</v>
      </c>
      <c r="D366" s="1" t="s">
        <v>255</v>
      </c>
      <c r="E366" s="1" t="s">
        <v>256</v>
      </c>
      <c r="F366" s="1" t="s">
        <v>26</v>
      </c>
      <c r="G366" s="1" t="s">
        <v>27</v>
      </c>
      <c r="H366" s="2">
        <v>45372</v>
      </c>
      <c r="I366" s="1" t="s">
        <v>964</v>
      </c>
      <c r="J366" s="1" t="s">
        <v>965</v>
      </c>
      <c r="K366" s="1" t="s">
        <v>902</v>
      </c>
      <c r="L366" s="1">
        <v>3589.32</v>
      </c>
      <c r="M366" s="1">
        <v>3</v>
      </c>
      <c r="N366" s="1">
        <v>0</v>
      </c>
      <c r="O366" s="1">
        <v>10767.96</v>
      </c>
      <c r="P366" s="1">
        <v>1789.9</v>
      </c>
    </row>
    <row r="367" spans="1:16" x14ac:dyDescent="0.3">
      <c r="A367" s="1" t="s">
        <v>359</v>
      </c>
      <c r="B367" s="2">
        <v>45954</v>
      </c>
      <c r="C367" s="2" t="str">
        <f>TEXT(E_Commerce_data[[#This Row],[order_date]],"MMM")</f>
        <v>Oct</v>
      </c>
      <c r="D367" s="1" t="s">
        <v>159</v>
      </c>
      <c r="E367" s="1" t="s">
        <v>160</v>
      </c>
      <c r="F367" s="1" t="s">
        <v>76</v>
      </c>
      <c r="G367" s="1" t="s">
        <v>32</v>
      </c>
      <c r="H367" s="2">
        <v>45211</v>
      </c>
      <c r="I367" s="1" t="s">
        <v>315</v>
      </c>
      <c r="J367" s="1" t="s">
        <v>316</v>
      </c>
      <c r="K367" s="1" t="s">
        <v>22</v>
      </c>
      <c r="L367" s="1">
        <v>16937.37</v>
      </c>
      <c r="M367" s="1">
        <v>5</v>
      </c>
      <c r="N367" s="1">
        <v>0</v>
      </c>
      <c r="O367" s="1">
        <v>84686.85</v>
      </c>
      <c r="P367" s="1">
        <v>24285.49</v>
      </c>
    </row>
    <row r="368" spans="1:16" x14ac:dyDescent="0.3">
      <c r="A368" s="1" t="s">
        <v>360</v>
      </c>
      <c r="B368" s="2">
        <v>45863</v>
      </c>
      <c r="C368" s="2" t="str">
        <f>TEXT(E_Commerce_data[[#This Row],[order_date]],"MMM")</f>
        <v>Jul</v>
      </c>
      <c r="D368" s="1" t="s">
        <v>361</v>
      </c>
      <c r="E368" s="1" t="s">
        <v>362</v>
      </c>
      <c r="F368" s="1" t="s">
        <v>93</v>
      </c>
      <c r="G368" s="1" t="s">
        <v>27</v>
      </c>
      <c r="H368" s="2">
        <v>45227</v>
      </c>
      <c r="I368" s="1" t="s">
        <v>315</v>
      </c>
      <c r="J368" s="1" t="s">
        <v>316</v>
      </c>
      <c r="K368" s="1" t="s">
        <v>22</v>
      </c>
      <c r="L368" s="1">
        <v>16937.37</v>
      </c>
      <c r="M368" s="1">
        <v>3</v>
      </c>
      <c r="N368" s="1">
        <v>0</v>
      </c>
      <c r="O368" s="1">
        <v>50812.11</v>
      </c>
      <c r="P368" s="1">
        <v>7566.29</v>
      </c>
    </row>
    <row r="369" spans="1:16" x14ac:dyDescent="0.3">
      <c r="A369" s="1" t="s">
        <v>920</v>
      </c>
      <c r="B369" s="2">
        <v>45964</v>
      </c>
      <c r="C369" s="2" t="str">
        <f>TEXT(E_Commerce_data[[#This Row],[order_date]],"MMM")</f>
        <v>Nov</v>
      </c>
      <c r="D369" s="1" t="s">
        <v>361</v>
      </c>
      <c r="E369" s="1" t="s">
        <v>362</v>
      </c>
      <c r="F369" s="1" t="s">
        <v>93</v>
      </c>
      <c r="G369" s="1" t="s">
        <v>27</v>
      </c>
      <c r="H369" s="2">
        <v>45227</v>
      </c>
      <c r="I369" s="1" t="s">
        <v>900</v>
      </c>
      <c r="J369" s="1" t="s">
        <v>901</v>
      </c>
      <c r="K369" s="1" t="s">
        <v>902</v>
      </c>
      <c r="L369" s="1">
        <v>42988.79</v>
      </c>
      <c r="M369" s="1">
        <v>4</v>
      </c>
      <c r="N369" s="1">
        <v>0</v>
      </c>
      <c r="O369" s="1">
        <v>171955.16</v>
      </c>
      <c r="P369" s="1">
        <v>21597.35</v>
      </c>
    </row>
    <row r="370" spans="1:16" x14ac:dyDescent="0.3">
      <c r="A370" s="1" t="s">
        <v>855</v>
      </c>
      <c r="B370" s="2">
        <v>45375</v>
      </c>
      <c r="C370" s="2" t="str">
        <f>TEXT(E_Commerce_data[[#This Row],[order_date]],"MMM")</f>
        <v>Mar</v>
      </c>
      <c r="D370" s="1" t="s">
        <v>354</v>
      </c>
      <c r="E370" s="1" t="s">
        <v>355</v>
      </c>
      <c r="F370" s="1" t="s">
        <v>26</v>
      </c>
      <c r="G370" s="1" t="s">
        <v>27</v>
      </c>
      <c r="H370" s="2">
        <v>45582</v>
      </c>
      <c r="I370" s="1" t="s">
        <v>822</v>
      </c>
      <c r="J370" s="1" t="s">
        <v>823</v>
      </c>
      <c r="K370" s="1" t="s">
        <v>560</v>
      </c>
      <c r="L370" s="1">
        <v>45275.73</v>
      </c>
      <c r="M370" s="1">
        <v>5</v>
      </c>
      <c r="N370" s="1">
        <v>0.2</v>
      </c>
      <c r="O370" s="1">
        <v>181102.92</v>
      </c>
      <c r="P370" s="1">
        <v>17225.060000000001</v>
      </c>
    </row>
    <row r="371" spans="1:16" x14ac:dyDescent="0.3">
      <c r="A371" s="1" t="s">
        <v>1119</v>
      </c>
      <c r="B371" s="2">
        <v>45650</v>
      </c>
      <c r="C371" s="2" t="str">
        <f>TEXT(E_Commerce_data[[#This Row],[order_date]],"MMM")</f>
        <v>Dec</v>
      </c>
      <c r="D371" s="1" t="s">
        <v>147</v>
      </c>
      <c r="E371" s="1" t="s">
        <v>148</v>
      </c>
      <c r="F371" s="1" t="s">
        <v>36</v>
      </c>
      <c r="G371" s="1" t="s">
        <v>32</v>
      </c>
      <c r="H371" s="2">
        <v>45090</v>
      </c>
      <c r="I371" s="1" t="s">
        <v>1102</v>
      </c>
      <c r="J371" s="1" t="s">
        <v>1103</v>
      </c>
      <c r="K371" s="1" t="s">
        <v>902</v>
      </c>
      <c r="L371" s="1">
        <v>33465.440000000002</v>
      </c>
      <c r="M371" s="1">
        <v>5</v>
      </c>
      <c r="N371" s="1">
        <v>0.15</v>
      </c>
      <c r="O371" s="1">
        <v>142228.12</v>
      </c>
      <c r="P371" s="1">
        <v>13145.93</v>
      </c>
    </row>
    <row r="372" spans="1:16" x14ac:dyDescent="0.3">
      <c r="A372" s="1" t="s">
        <v>1120</v>
      </c>
      <c r="B372" s="2">
        <v>45693</v>
      </c>
      <c r="C372" s="2" t="str">
        <f>TEXT(E_Commerce_data[[#This Row],[order_date]],"MMM")</f>
        <v>Feb</v>
      </c>
      <c r="D372" s="1" t="s">
        <v>142</v>
      </c>
      <c r="E372" s="1" t="s">
        <v>143</v>
      </c>
      <c r="F372" s="1" t="s">
        <v>93</v>
      </c>
      <c r="G372" s="1" t="s">
        <v>27</v>
      </c>
      <c r="H372" s="2">
        <v>45109</v>
      </c>
      <c r="I372" s="1" t="s">
        <v>1102</v>
      </c>
      <c r="J372" s="1" t="s">
        <v>1103</v>
      </c>
      <c r="K372" s="1" t="s">
        <v>902</v>
      </c>
      <c r="L372" s="1">
        <v>33465.440000000002</v>
      </c>
      <c r="M372" s="1">
        <v>3</v>
      </c>
      <c r="N372" s="1">
        <v>0.15</v>
      </c>
      <c r="O372" s="1">
        <v>85336.87</v>
      </c>
      <c r="P372" s="1">
        <v>22148.67</v>
      </c>
    </row>
    <row r="373" spans="1:16" x14ac:dyDescent="0.3">
      <c r="A373" s="1" t="s">
        <v>441</v>
      </c>
      <c r="B373" s="2">
        <v>45378</v>
      </c>
      <c r="C373" s="2" t="str">
        <f>TEXT(E_Commerce_data[[#This Row],[order_date]],"MMM")</f>
        <v>Mar</v>
      </c>
      <c r="D373" s="1" t="s">
        <v>354</v>
      </c>
      <c r="E373" s="1" t="s">
        <v>355</v>
      </c>
      <c r="F373" s="1" t="s">
        <v>26</v>
      </c>
      <c r="G373" s="1" t="s">
        <v>27</v>
      </c>
      <c r="H373" s="2">
        <v>45582</v>
      </c>
      <c r="I373" s="1" t="s">
        <v>420</v>
      </c>
      <c r="J373" s="1" t="s">
        <v>421</v>
      </c>
      <c r="K373" s="1" t="s">
        <v>22</v>
      </c>
      <c r="L373" s="1">
        <v>29436.02</v>
      </c>
      <c r="M373" s="1">
        <v>2</v>
      </c>
      <c r="N373" s="1">
        <v>0.1</v>
      </c>
      <c r="O373" s="1">
        <v>52984.84</v>
      </c>
      <c r="P373" s="1">
        <v>13916.48</v>
      </c>
    </row>
    <row r="374" spans="1:16" x14ac:dyDescent="0.3">
      <c r="A374" s="1" t="s">
        <v>790</v>
      </c>
      <c r="B374" s="2">
        <v>45628</v>
      </c>
      <c r="C374" s="2" t="str">
        <f>TEXT(E_Commerce_data[[#This Row],[order_date]],"MMM")</f>
        <v>Dec</v>
      </c>
      <c r="D374" s="1" t="s">
        <v>189</v>
      </c>
      <c r="E374" s="1" t="s">
        <v>190</v>
      </c>
      <c r="F374" s="1" t="s">
        <v>26</v>
      </c>
      <c r="G374" s="1" t="s">
        <v>27</v>
      </c>
      <c r="H374" s="2">
        <v>45645</v>
      </c>
      <c r="I374" s="1" t="s">
        <v>763</v>
      </c>
      <c r="J374" s="1" t="s">
        <v>764</v>
      </c>
      <c r="K374" s="1" t="s">
        <v>560</v>
      </c>
      <c r="L374" s="1">
        <v>11485.64</v>
      </c>
      <c r="M374" s="1">
        <v>3</v>
      </c>
      <c r="N374" s="1">
        <v>0.1</v>
      </c>
      <c r="O374" s="1">
        <v>31011.23</v>
      </c>
      <c r="P374" s="1">
        <v>5054.95</v>
      </c>
    </row>
    <row r="375" spans="1:16" x14ac:dyDescent="0.3">
      <c r="A375" s="1" t="s">
        <v>1058</v>
      </c>
      <c r="B375" s="2">
        <v>45993</v>
      </c>
      <c r="C375" s="2" t="str">
        <f>TEXT(E_Commerce_data[[#This Row],[order_date]],"MMM")</f>
        <v>Dec</v>
      </c>
      <c r="D375" s="1" t="s">
        <v>199</v>
      </c>
      <c r="E375" s="1" t="s">
        <v>200</v>
      </c>
      <c r="F375" s="1" t="s">
        <v>36</v>
      </c>
      <c r="G375" s="1" t="s">
        <v>32</v>
      </c>
      <c r="H375" s="2">
        <v>45196</v>
      </c>
      <c r="I375" s="1" t="s">
        <v>1034</v>
      </c>
      <c r="J375" s="1" t="s">
        <v>1035</v>
      </c>
      <c r="K375" s="1" t="s">
        <v>902</v>
      </c>
      <c r="L375" s="1">
        <v>11938.33</v>
      </c>
      <c r="M375" s="1">
        <v>2</v>
      </c>
      <c r="N375" s="1">
        <v>0.15</v>
      </c>
      <c r="O375" s="1">
        <v>20295.16</v>
      </c>
      <c r="P375" s="1">
        <v>5293.98</v>
      </c>
    </row>
    <row r="376" spans="1:16" x14ac:dyDescent="0.3">
      <c r="A376" s="1" t="s">
        <v>856</v>
      </c>
      <c r="B376" s="2">
        <v>45725</v>
      </c>
      <c r="C376" s="2" t="str">
        <f>TEXT(E_Commerce_data[[#This Row],[order_date]],"MMM")</f>
        <v>Mar</v>
      </c>
      <c r="D376" s="1" t="s">
        <v>218</v>
      </c>
      <c r="E376" s="1" t="s">
        <v>219</v>
      </c>
      <c r="F376" s="1" t="s">
        <v>47</v>
      </c>
      <c r="G376" s="1" t="s">
        <v>48</v>
      </c>
      <c r="H376" s="2">
        <v>45241</v>
      </c>
      <c r="I376" s="1" t="s">
        <v>822</v>
      </c>
      <c r="J376" s="1" t="s">
        <v>823</v>
      </c>
      <c r="K376" s="1" t="s">
        <v>560</v>
      </c>
      <c r="L376" s="1">
        <v>45275.73</v>
      </c>
      <c r="M376" s="1">
        <v>5</v>
      </c>
      <c r="N376" s="1">
        <v>0</v>
      </c>
      <c r="O376" s="1">
        <v>226378.65</v>
      </c>
      <c r="P376" s="1">
        <v>55192.800000000003</v>
      </c>
    </row>
    <row r="377" spans="1:16" x14ac:dyDescent="0.3">
      <c r="A377" s="1" t="s">
        <v>791</v>
      </c>
      <c r="B377" s="2">
        <v>45608</v>
      </c>
      <c r="C377" s="2" t="str">
        <f>TEXT(E_Commerce_data[[#This Row],[order_date]],"MMM")</f>
        <v>Nov</v>
      </c>
      <c r="D377" s="1" t="s">
        <v>139</v>
      </c>
      <c r="E377" s="1" t="s">
        <v>140</v>
      </c>
      <c r="F377" s="1" t="s">
        <v>47</v>
      </c>
      <c r="G377" s="1" t="s">
        <v>48</v>
      </c>
      <c r="H377" s="2">
        <v>44984</v>
      </c>
      <c r="I377" s="1" t="s">
        <v>763</v>
      </c>
      <c r="J377" s="1" t="s">
        <v>764</v>
      </c>
      <c r="K377" s="1" t="s">
        <v>560</v>
      </c>
      <c r="L377" s="1">
        <v>11485.64</v>
      </c>
      <c r="M377" s="1">
        <v>5</v>
      </c>
      <c r="N377" s="1">
        <v>0</v>
      </c>
      <c r="O377" s="1">
        <v>57428.2</v>
      </c>
      <c r="P377" s="1">
        <v>3185.49</v>
      </c>
    </row>
    <row r="378" spans="1:16" x14ac:dyDescent="0.3">
      <c r="A378" s="1" t="s">
        <v>363</v>
      </c>
      <c r="B378" s="2">
        <v>45789</v>
      </c>
      <c r="C378" s="2" t="str">
        <f>TEXT(E_Commerce_data[[#This Row],[order_date]],"MMM")</f>
        <v>May</v>
      </c>
      <c r="D378" s="1" t="s">
        <v>225</v>
      </c>
      <c r="E378" s="1" t="s">
        <v>226</v>
      </c>
      <c r="F378" s="1" t="s">
        <v>76</v>
      </c>
      <c r="G378" s="1" t="s">
        <v>32</v>
      </c>
      <c r="H378" s="2">
        <v>45335</v>
      </c>
      <c r="I378" s="1" t="s">
        <v>315</v>
      </c>
      <c r="J378" s="1" t="s">
        <v>316</v>
      </c>
      <c r="K378" s="1" t="s">
        <v>22</v>
      </c>
      <c r="L378" s="1">
        <v>16937.37</v>
      </c>
      <c r="M378" s="1">
        <v>2</v>
      </c>
      <c r="N378" s="1">
        <v>0</v>
      </c>
      <c r="O378" s="1">
        <v>33874.74</v>
      </c>
      <c r="P378" s="1">
        <v>5166.57</v>
      </c>
    </row>
    <row r="379" spans="1:16" x14ac:dyDescent="0.3">
      <c r="A379" s="1" t="s">
        <v>857</v>
      </c>
      <c r="B379" s="2">
        <v>45450</v>
      </c>
      <c r="C379" s="2" t="str">
        <f>TEXT(E_Commerce_data[[#This Row],[order_date]],"MMM")</f>
        <v>Jun</v>
      </c>
      <c r="D379" s="1" t="s">
        <v>453</v>
      </c>
      <c r="E379" s="1" t="s">
        <v>454</v>
      </c>
      <c r="F379" s="1" t="s">
        <v>31</v>
      </c>
      <c r="G379" s="1" t="s">
        <v>32</v>
      </c>
      <c r="H379" s="2">
        <v>45143</v>
      </c>
      <c r="I379" s="1" t="s">
        <v>822</v>
      </c>
      <c r="J379" s="1" t="s">
        <v>823</v>
      </c>
      <c r="K379" s="1" t="s">
        <v>560</v>
      </c>
      <c r="L379" s="1">
        <v>45275.73</v>
      </c>
      <c r="M379" s="1">
        <v>2</v>
      </c>
      <c r="N379" s="1">
        <v>0</v>
      </c>
      <c r="O379" s="1">
        <v>90551.46</v>
      </c>
      <c r="P379" s="1">
        <v>31692.38</v>
      </c>
    </row>
    <row r="380" spans="1:16" x14ac:dyDescent="0.3">
      <c r="A380" s="1" t="s">
        <v>586</v>
      </c>
      <c r="B380" s="2">
        <v>45395</v>
      </c>
      <c r="C380" s="2" t="str">
        <f>TEXT(E_Commerce_data[[#This Row],[order_date]],"MMM")</f>
        <v>Apr</v>
      </c>
      <c r="D380" s="1" t="s">
        <v>162</v>
      </c>
      <c r="E380" s="1" t="s">
        <v>163</v>
      </c>
      <c r="F380" s="1" t="s">
        <v>93</v>
      </c>
      <c r="G380" s="1" t="s">
        <v>27</v>
      </c>
      <c r="H380" s="2">
        <v>45200</v>
      </c>
      <c r="I380" s="1" t="s">
        <v>558</v>
      </c>
      <c r="J380" s="1" t="s">
        <v>559</v>
      </c>
      <c r="K380" s="1" t="s">
        <v>560</v>
      </c>
      <c r="L380" s="1">
        <v>11049.86</v>
      </c>
      <c r="M380" s="1">
        <v>1</v>
      </c>
      <c r="N380" s="1">
        <v>0</v>
      </c>
      <c r="O380" s="1">
        <v>11049.86</v>
      </c>
      <c r="P380" s="1">
        <v>3351.74</v>
      </c>
    </row>
    <row r="381" spans="1:16" x14ac:dyDescent="0.3">
      <c r="A381" s="1" t="s">
        <v>364</v>
      </c>
      <c r="B381" s="2">
        <v>45831</v>
      </c>
      <c r="C381" s="2" t="str">
        <f>TEXT(E_Commerce_data[[#This Row],[order_date]],"MMM")</f>
        <v>Jun</v>
      </c>
      <c r="D381" s="1" t="s">
        <v>189</v>
      </c>
      <c r="E381" s="1" t="s">
        <v>190</v>
      </c>
      <c r="F381" s="1" t="s">
        <v>26</v>
      </c>
      <c r="G381" s="1" t="s">
        <v>27</v>
      </c>
      <c r="H381" s="2">
        <v>45645</v>
      </c>
      <c r="I381" s="1" t="s">
        <v>315</v>
      </c>
      <c r="J381" s="1" t="s">
        <v>316</v>
      </c>
      <c r="K381" s="1" t="s">
        <v>22</v>
      </c>
      <c r="L381" s="1">
        <v>16937.37</v>
      </c>
      <c r="M381" s="1">
        <v>5</v>
      </c>
      <c r="N381" s="1">
        <v>0.2</v>
      </c>
      <c r="O381" s="1">
        <v>67749.48</v>
      </c>
      <c r="P381" s="1">
        <v>14358.23</v>
      </c>
    </row>
    <row r="382" spans="1:16" x14ac:dyDescent="0.3">
      <c r="A382" s="1" t="s">
        <v>858</v>
      </c>
      <c r="B382" s="2">
        <v>45924</v>
      </c>
      <c r="C382" s="2" t="str">
        <f>TEXT(E_Commerce_data[[#This Row],[order_date]],"MMM")</f>
        <v>Sep</v>
      </c>
      <c r="D382" s="1" t="s">
        <v>50</v>
      </c>
      <c r="E382" s="1" t="s">
        <v>51</v>
      </c>
      <c r="F382" s="1" t="s">
        <v>47</v>
      </c>
      <c r="G382" s="1" t="s">
        <v>48</v>
      </c>
      <c r="H382" s="2">
        <v>45041</v>
      </c>
      <c r="I382" s="1" t="s">
        <v>822</v>
      </c>
      <c r="J382" s="1" t="s">
        <v>823</v>
      </c>
      <c r="K382" s="1" t="s">
        <v>560</v>
      </c>
      <c r="L382" s="1">
        <v>45275.73</v>
      </c>
      <c r="M382" s="1">
        <v>1</v>
      </c>
      <c r="N382" s="1">
        <v>0.15</v>
      </c>
      <c r="O382" s="1">
        <v>38484.370000000003</v>
      </c>
      <c r="P382" s="1">
        <v>5812.27</v>
      </c>
    </row>
    <row r="383" spans="1:16" x14ac:dyDescent="0.3">
      <c r="A383" s="1" t="s">
        <v>1196</v>
      </c>
      <c r="B383" s="2">
        <v>45458</v>
      </c>
      <c r="C383" s="2" t="str">
        <f>TEXT(E_Commerce_data[[#This Row],[order_date]],"MMM")</f>
        <v>Jun</v>
      </c>
      <c r="D383" s="1" t="s">
        <v>335</v>
      </c>
      <c r="E383" s="1" t="s">
        <v>336</v>
      </c>
      <c r="F383" s="1" t="s">
        <v>43</v>
      </c>
      <c r="G383" s="1" t="s">
        <v>32</v>
      </c>
      <c r="H383" s="2">
        <v>45315</v>
      </c>
      <c r="I383" s="1" t="s">
        <v>1162</v>
      </c>
      <c r="J383" s="1" t="s">
        <v>1163</v>
      </c>
      <c r="K383" s="1" t="s">
        <v>902</v>
      </c>
      <c r="L383" s="1">
        <v>10751.13</v>
      </c>
      <c r="M383" s="1">
        <v>2</v>
      </c>
      <c r="N383" s="1">
        <v>0.1</v>
      </c>
      <c r="O383" s="1">
        <v>19352.03</v>
      </c>
      <c r="P383" s="1">
        <v>3154.69</v>
      </c>
    </row>
    <row r="384" spans="1:16" x14ac:dyDescent="0.3">
      <c r="A384" s="1" t="s">
        <v>659</v>
      </c>
      <c r="B384" s="2">
        <v>45931</v>
      </c>
      <c r="C384" s="2" t="str">
        <f>TEXT(E_Commerce_data[[#This Row],[order_date]],"MMM")</f>
        <v>Oct</v>
      </c>
      <c r="D384" s="1" t="s">
        <v>109</v>
      </c>
      <c r="E384" s="1" t="s">
        <v>110</v>
      </c>
      <c r="F384" s="1" t="s">
        <v>31</v>
      </c>
      <c r="G384" s="1" t="s">
        <v>32</v>
      </c>
      <c r="H384" s="2">
        <v>45026</v>
      </c>
      <c r="I384" s="1" t="s">
        <v>633</v>
      </c>
      <c r="J384" s="1" t="s">
        <v>634</v>
      </c>
      <c r="K384" s="1" t="s">
        <v>560</v>
      </c>
      <c r="L384" s="1">
        <v>3596.1</v>
      </c>
      <c r="M384" s="1">
        <v>2</v>
      </c>
      <c r="N384" s="1">
        <v>0.2</v>
      </c>
      <c r="O384" s="1">
        <v>5753.76</v>
      </c>
      <c r="P384" s="1">
        <v>1483.63</v>
      </c>
    </row>
    <row r="385" spans="1:16" x14ac:dyDescent="0.3">
      <c r="A385" s="1" t="s">
        <v>859</v>
      </c>
      <c r="B385" s="2">
        <v>45712</v>
      </c>
      <c r="C385" s="2" t="str">
        <f>TEXT(E_Commerce_data[[#This Row],[order_date]],"MMM")</f>
        <v>Feb</v>
      </c>
      <c r="D385" s="1" t="s">
        <v>171</v>
      </c>
      <c r="E385" s="1" t="s">
        <v>172</v>
      </c>
      <c r="F385" s="1" t="s">
        <v>47</v>
      </c>
      <c r="G385" s="1" t="s">
        <v>48</v>
      </c>
      <c r="H385" s="2">
        <v>45093</v>
      </c>
      <c r="I385" s="1" t="s">
        <v>822</v>
      </c>
      <c r="J385" s="1" t="s">
        <v>823</v>
      </c>
      <c r="K385" s="1" t="s">
        <v>560</v>
      </c>
      <c r="L385" s="1">
        <v>45275.73</v>
      </c>
      <c r="M385" s="1">
        <v>2</v>
      </c>
      <c r="N385" s="1">
        <v>0.15</v>
      </c>
      <c r="O385" s="1">
        <v>76968.740000000005</v>
      </c>
      <c r="P385" s="1">
        <v>13954.59</v>
      </c>
    </row>
    <row r="386" spans="1:16" x14ac:dyDescent="0.3">
      <c r="A386" s="1" t="s">
        <v>111</v>
      </c>
      <c r="B386" s="2">
        <v>45746</v>
      </c>
      <c r="C386" s="2" t="str">
        <f>TEXT(E_Commerce_data[[#This Row],[order_date]],"MMM")</f>
        <v>Mar</v>
      </c>
      <c r="D386" s="1" t="s">
        <v>112</v>
      </c>
      <c r="E386" s="1" t="s">
        <v>113</v>
      </c>
      <c r="F386" s="1" t="s">
        <v>55</v>
      </c>
      <c r="G386" s="1" t="s">
        <v>27</v>
      </c>
      <c r="H386" s="2">
        <v>45602</v>
      </c>
      <c r="I386" s="1" t="s">
        <v>20</v>
      </c>
      <c r="J386" s="1" t="s">
        <v>21</v>
      </c>
      <c r="K386" s="1" t="s">
        <v>22</v>
      </c>
      <c r="L386" s="1">
        <v>6094.16</v>
      </c>
      <c r="M386" s="1">
        <v>3</v>
      </c>
      <c r="N386" s="1">
        <v>0.15</v>
      </c>
      <c r="O386" s="1">
        <v>15540.11</v>
      </c>
      <c r="P386" s="1">
        <v>4131.74</v>
      </c>
    </row>
    <row r="387" spans="1:16" x14ac:dyDescent="0.3">
      <c r="A387" s="1" t="s">
        <v>271</v>
      </c>
      <c r="B387" s="2">
        <v>45751</v>
      </c>
      <c r="C387" s="2" t="str">
        <f>TEXT(E_Commerce_data[[#This Row],[order_date]],"MMM")</f>
        <v>Apr</v>
      </c>
      <c r="D387" s="1" t="s">
        <v>237</v>
      </c>
      <c r="E387" s="1" t="s">
        <v>238</v>
      </c>
      <c r="F387" s="1" t="s">
        <v>93</v>
      </c>
      <c r="G387" s="1" t="s">
        <v>27</v>
      </c>
      <c r="H387" s="2">
        <v>45151</v>
      </c>
      <c r="I387" s="1" t="s">
        <v>215</v>
      </c>
      <c r="J387" s="1" t="s">
        <v>216</v>
      </c>
      <c r="K387" s="1" t="s">
        <v>22</v>
      </c>
      <c r="L387" s="1">
        <v>11273.63</v>
      </c>
      <c r="M387" s="1">
        <v>5</v>
      </c>
      <c r="N387" s="1">
        <v>0</v>
      </c>
      <c r="O387" s="1">
        <v>56368.15</v>
      </c>
      <c r="P387" s="1">
        <v>15541.68</v>
      </c>
    </row>
    <row r="388" spans="1:16" x14ac:dyDescent="0.3">
      <c r="A388" s="1" t="s">
        <v>518</v>
      </c>
      <c r="B388" s="2">
        <v>45772</v>
      </c>
      <c r="C388" s="2" t="str">
        <f>TEXT(E_Commerce_data[[#This Row],[order_date]],"MMM")</f>
        <v>Apr</v>
      </c>
      <c r="D388" s="1" t="s">
        <v>519</v>
      </c>
      <c r="E388" s="1" t="s">
        <v>520</v>
      </c>
      <c r="F388" s="1" t="s">
        <v>55</v>
      </c>
      <c r="G388" s="1" t="s">
        <v>27</v>
      </c>
      <c r="H388" s="2">
        <v>45198</v>
      </c>
      <c r="I388" s="1" t="s">
        <v>489</v>
      </c>
      <c r="J388" s="1" t="s">
        <v>490</v>
      </c>
      <c r="K388" s="1" t="s">
        <v>22</v>
      </c>
      <c r="L388" s="1">
        <v>11544.23</v>
      </c>
      <c r="M388" s="1">
        <v>2</v>
      </c>
      <c r="N388" s="1">
        <v>0.1</v>
      </c>
      <c r="O388" s="1">
        <v>20779.61</v>
      </c>
      <c r="P388" s="1">
        <v>2529.9299999999998</v>
      </c>
    </row>
    <row r="389" spans="1:16" x14ac:dyDescent="0.3">
      <c r="A389" s="1" t="s">
        <v>660</v>
      </c>
      <c r="B389" s="2">
        <v>45876</v>
      </c>
      <c r="C389" s="2" t="str">
        <f>TEXT(E_Commerce_data[[#This Row],[order_date]],"MMM")</f>
        <v>Aug</v>
      </c>
      <c r="D389" s="1" t="s">
        <v>74</v>
      </c>
      <c r="E389" s="1" t="s">
        <v>75</v>
      </c>
      <c r="F389" s="1" t="s">
        <v>76</v>
      </c>
      <c r="G389" s="1" t="s">
        <v>32</v>
      </c>
      <c r="H389" s="2">
        <v>44954</v>
      </c>
      <c r="I389" s="1" t="s">
        <v>633</v>
      </c>
      <c r="J389" s="1" t="s">
        <v>634</v>
      </c>
      <c r="K389" s="1" t="s">
        <v>560</v>
      </c>
      <c r="L389" s="1">
        <v>3596.1</v>
      </c>
      <c r="M389" s="1">
        <v>2</v>
      </c>
      <c r="N389" s="1">
        <v>0</v>
      </c>
      <c r="O389" s="1">
        <v>7192.2</v>
      </c>
      <c r="P389" s="1">
        <v>1823.17</v>
      </c>
    </row>
    <row r="390" spans="1:16" x14ac:dyDescent="0.3">
      <c r="A390" s="1" t="s">
        <v>921</v>
      </c>
      <c r="B390" s="2">
        <v>45683</v>
      </c>
      <c r="C390" s="2" t="str">
        <f>TEXT(E_Commerce_data[[#This Row],[order_date]],"MMM")</f>
        <v>Jan</v>
      </c>
      <c r="D390" s="1" t="s">
        <v>259</v>
      </c>
      <c r="E390" s="1" t="s">
        <v>260</v>
      </c>
      <c r="F390" s="1" t="s">
        <v>18</v>
      </c>
      <c r="G390" s="1" t="s">
        <v>19</v>
      </c>
      <c r="H390" s="2">
        <v>45444</v>
      </c>
      <c r="I390" s="1" t="s">
        <v>900</v>
      </c>
      <c r="J390" s="1" t="s">
        <v>901</v>
      </c>
      <c r="K390" s="1" t="s">
        <v>902</v>
      </c>
      <c r="L390" s="1">
        <v>42988.79</v>
      </c>
      <c r="M390" s="1">
        <v>4</v>
      </c>
      <c r="N390" s="1">
        <v>0.05</v>
      </c>
      <c r="O390" s="1">
        <v>163357.4</v>
      </c>
      <c r="P390" s="1">
        <v>45875.91</v>
      </c>
    </row>
    <row r="391" spans="1:16" x14ac:dyDescent="0.3">
      <c r="A391" s="1" t="s">
        <v>272</v>
      </c>
      <c r="B391" s="2">
        <v>45457</v>
      </c>
      <c r="C391" s="2" t="str">
        <f>TEXT(E_Commerce_data[[#This Row],[order_date]],"MMM")</f>
        <v>Jun</v>
      </c>
      <c r="D391" s="1" t="s">
        <v>129</v>
      </c>
      <c r="E391" s="1" t="s">
        <v>130</v>
      </c>
      <c r="F391" s="1" t="s">
        <v>72</v>
      </c>
      <c r="G391" s="1" t="s">
        <v>48</v>
      </c>
      <c r="H391" s="2">
        <v>45021</v>
      </c>
      <c r="I391" s="1" t="s">
        <v>215</v>
      </c>
      <c r="J391" s="1" t="s">
        <v>216</v>
      </c>
      <c r="K391" s="1" t="s">
        <v>22</v>
      </c>
      <c r="L391" s="1">
        <v>11273.63</v>
      </c>
      <c r="M391" s="1">
        <v>5</v>
      </c>
      <c r="N391" s="1">
        <v>0.1</v>
      </c>
      <c r="O391" s="1">
        <v>50731.34</v>
      </c>
      <c r="P391" s="1">
        <v>8908.33</v>
      </c>
    </row>
    <row r="392" spans="1:16" x14ac:dyDescent="0.3">
      <c r="A392" s="1" t="s">
        <v>587</v>
      </c>
      <c r="B392" s="2">
        <v>45548</v>
      </c>
      <c r="C392" s="2" t="str">
        <f>TEXT(E_Commerce_data[[#This Row],[order_date]],"MMM")</f>
        <v>Sep</v>
      </c>
      <c r="D392" s="1" t="s">
        <v>171</v>
      </c>
      <c r="E392" s="1" t="s">
        <v>172</v>
      </c>
      <c r="F392" s="1" t="s">
        <v>47</v>
      </c>
      <c r="G392" s="1" t="s">
        <v>48</v>
      </c>
      <c r="H392" s="2">
        <v>45093</v>
      </c>
      <c r="I392" s="1" t="s">
        <v>558</v>
      </c>
      <c r="J392" s="1" t="s">
        <v>559</v>
      </c>
      <c r="K392" s="1" t="s">
        <v>560</v>
      </c>
      <c r="L392" s="1">
        <v>11049.86</v>
      </c>
      <c r="M392" s="1">
        <v>2</v>
      </c>
      <c r="N392" s="1">
        <v>0.2</v>
      </c>
      <c r="O392" s="1">
        <v>17679.78</v>
      </c>
      <c r="P392" s="1">
        <v>4091.08</v>
      </c>
    </row>
    <row r="393" spans="1:16" x14ac:dyDescent="0.3">
      <c r="A393" s="1" t="s">
        <v>521</v>
      </c>
      <c r="B393" s="2">
        <v>45672</v>
      </c>
      <c r="C393" s="2" t="str">
        <f>TEXT(E_Commerce_data[[#This Row],[order_date]],"MMM")</f>
        <v>Jan</v>
      </c>
      <c r="D393" s="1" t="s">
        <v>29</v>
      </c>
      <c r="E393" s="1" t="s">
        <v>30</v>
      </c>
      <c r="F393" s="1" t="s">
        <v>31</v>
      </c>
      <c r="G393" s="1" t="s">
        <v>32</v>
      </c>
      <c r="H393" s="2">
        <v>45537</v>
      </c>
      <c r="I393" s="1" t="s">
        <v>489</v>
      </c>
      <c r="J393" s="1" t="s">
        <v>490</v>
      </c>
      <c r="K393" s="1" t="s">
        <v>22</v>
      </c>
      <c r="L393" s="1">
        <v>11544.23</v>
      </c>
      <c r="M393" s="1">
        <v>1</v>
      </c>
      <c r="N393" s="1">
        <v>0.15</v>
      </c>
      <c r="O393" s="1">
        <v>9812.6</v>
      </c>
      <c r="P393" s="1">
        <v>1905.38</v>
      </c>
    </row>
    <row r="394" spans="1:16" x14ac:dyDescent="0.3">
      <c r="A394" s="1" t="s">
        <v>1121</v>
      </c>
      <c r="B394" s="2">
        <v>45820</v>
      </c>
      <c r="C394" s="2" t="str">
        <f>TEXT(E_Commerce_data[[#This Row],[order_date]],"MMM")</f>
        <v>Jun</v>
      </c>
      <c r="D394" s="1" t="s">
        <v>387</v>
      </c>
      <c r="E394" s="1" t="s">
        <v>388</v>
      </c>
      <c r="F394" s="1" t="s">
        <v>26</v>
      </c>
      <c r="G394" s="1" t="s">
        <v>27</v>
      </c>
      <c r="H394" s="2">
        <v>45335</v>
      </c>
      <c r="I394" s="1" t="s">
        <v>1102</v>
      </c>
      <c r="J394" s="1" t="s">
        <v>1103</v>
      </c>
      <c r="K394" s="1" t="s">
        <v>902</v>
      </c>
      <c r="L394" s="1">
        <v>33465.440000000002</v>
      </c>
      <c r="M394" s="1">
        <v>5</v>
      </c>
      <c r="N394" s="1">
        <v>0</v>
      </c>
      <c r="O394" s="1">
        <v>167327.20000000001</v>
      </c>
      <c r="P394" s="1">
        <v>44077.38</v>
      </c>
    </row>
    <row r="395" spans="1:16" x14ac:dyDescent="0.3">
      <c r="A395" s="1" t="s">
        <v>365</v>
      </c>
      <c r="B395" s="2">
        <v>45456</v>
      </c>
      <c r="C395" s="2" t="str">
        <f>TEXT(E_Commerce_data[[#This Row],[order_date]],"MMM")</f>
        <v>Jun</v>
      </c>
      <c r="D395" s="1" t="s">
        <v>366</v>
      </c>
      <c r="E395" s="1" t="s">
        <v>367</v>
      </c>
      <c r="F395" s="1" t="s">
        <v>47</v>
      </c>
      <c r="G395" s="1" t="s">
        <v>48</v>
      </c>
      <c r="H395" s="2">
        <v>45144</v>
      </c>
      <c r="I395" s="1" t="s">
        <v>315</v>
      </c>
      <c r="J395" s="1" t="s">
        <v>316</v>
      </c>
      <c r="K395" s="1" t="s">
        <v>22</v>
      </c>
      <c r="L395" s="1">
        <v>16937.37</v>
      </c>
      <c r="M395" s="1">
        <v>1</v>
      </c>
      <c r="N395" s="1">
        <v>0</v>
      </c>
      <c r="O395" s="1">
        <v>16937.37</v>
      </c>
      <c r="P395" s="1">
        <v>1273.06</v>
      </c>
    </row>
    <row r="396" spans="1:16" x14ac:dyDescent="0.3">
      <c r="A396" s="1" t="s">
        <v>522</v>
      </c>
      <c r="B396" s="2">
        <v>45442</v>
      </c>
      <c r="C396" s="2" t="str">
        <f>TEXT(E_Commerce_data[[#This Row],[order_date]],"MMM")</f>
        <v>May</v>
      </c>
      <c r="D396" s="1" t="s">
        <v>252</v>
      </c>
      <c r="E396" s="1" t="s">
        <v>253</v>
      </c>
      <c r="F396" s="1" t="s">
        <v>72</v>
      </c>
      <c r="G396" s="1" t="s">
        <v>48</v>
      </c>
      <c r="H396" s="2">
        <v>44973</v>
      </c>
      <c r="I396" s="1" t="s">
        <v>489</v>
      </c>
      <c r="J396" s="1" t="s">
        <v>490</v>
      </c>
      <c r="K396" s="1" t="s">
        <v>22</v>
      </c>
      <c r="L396" s="1">
        <v>11544.23</v>
      </c>
      <c r="M396" s="1">
        <v>3</v>
      </c>
      <c r="N396" s="1">
        <v>0.05</v>
      </c>
      <c r="O396" s="1">
        <v>32901.06</v>
      </c>
      <c r="P396" s="1">
        <v>10580.71</v>
      </c>
    </row>
    <row r="397" spans="1:16" x14ac:dyDescent="0.3">
      <c r="A397" s="1" t="s">
        <v>922</v>
      </c>
      <c r="B397" s="2">
        <v>45519</v>
      </c>
      <c r="C397" s="2" t="str">
        <f>TEXT(E_Commerce_data[[#This Row],[order_date]],"MMM")</f>
        <v>Aug</v>
      </c>
      <c r="D397" s="1" t="s">
        <v>74</v>
      </c>
      <c r="E397" s="1" t="s">
        <v>75</v>
      </c>
      <c r="F397" s="1" t="s">
        <v>76</v>
      </c>
      <c r="G397" s="1" t="s">
        <v>32</v>
      </c>
      <c r="H397" s="2">
        <v>44954</v>
      </c>
      <c r="I397" s="1" t="s">
        <v>900</v>
      </c>
      <c r="J397" s="1" t="s">
        <v>901</v>
      </c>
      <c r="K397" s="1" t="s">
        <v>902</v>
      </c>
      <c r="L397" s="1">
        <v>42988.79</v>
      </c>
      <c r="M397" s="1">
        <v>4</v>
      </c>
      <c r="N397" s="1">
        <v>0</v>
      </c>
      <c r="O397" s="1">
        <v>171955.16</v>
      </c>
      <c r="P397" s="1">
        <v>57419.95</v>
      </c>
    </row>
    <row r="398" spans="1:16" x14ac:dyDescent="0.3">
      <c r="A398" s="1" t="s">
        <v>1122</v>
      </c>
      <c r="B398" s="2">
        <v>45716</v>
      </c>
      <c r="C398" s="2" t="str">
        <f>TEXT(E_Commerce_data[[#This Row],[order_date]],"MMM")</f>
        <v>Feb</v>
      </c>
      <c r="D398" s="1" t="s">
        <v>324</v>
      </c>
      <c r="E398" s="1" t="s">
        <v>325</v>
      </c>
      <c r="F398" s="1" t="s">
        <v>55</v>
      </c>
      <c r="G398" s="1" t="s">
        <v>27</v>
      </c>
      <c r="H398" s="2">
        <v>45473</v>
      </c>
      <c r="I398" s="1" t="s">
        <v>1102</v>
      </c>
      <c r="J398" s="1" t="s">
        <v>1103</v>
      </c>
      <c r="K398" s="1" t="s">
        <v>902</v>
      </c>
      <c r="L398" s="1">
        <v>33465.440000000002</v>
      </c>
      <c r="M398" s="1">
        <v>4</v>
      </c>
      <c r="N398" s="1">
        <v>0</v>
      </c>
      <c r="O398" s="1">
        <v>133861.76000000001</v>
      </c>
      <c r="P398" s="1">
        <v>44059.47</v>
      </c>
    </row>
    <row r="399" spans="1:16" x14ac:dyDescent="0.3">
      <c r="A399" s="1" t="s">
        <v>114</v>
      </c>
      <c r="B399" s="2">
        <v>45533</v>
      </c>
      <c r="C399" s="2" t="str">
        <f>TEXT(E_Commerce_data[[#This Row],[order_date]],"MMM")</f>
        <v>Aug</v>
      </c>
      <c r="D399" s="1" t="s">
        <v>115</v>
      </c>
      <c r="E399" s="1" t="s">
        <v>116</v>
      </c>
      <c r="F399" s="1" t="s">
        <v>93</v>
      </c>
      <c r="G399" s="1" t="s">
        <v>27</v>
      </c>
      <c r="H399" s="2">
        <v>45196</v>
      </c>
      <c r="I399" s="1" t="s">
        <v>20</v>
      </c>
      <c r="J399" s="1" t="s">
        <v>21</v>
      </c>
      <c r="K399" s="1" t="s">
        <v>22</v>
      </c>
      <c r="L399" s="1">
        <v>6094.16</v>
      </c>
      <c r="M399" s="1">
        <v>1</v>
      </c>
      <c r="N399" s="1">
        <v>0.05</v>
      </c>
      <c r="O399" s="1">
        <v>5789.45</v>
      </c>
      <c r="P399" s="1">
        <v>1161.3800000000001</v>
      </c>
    </row>
    <row r="400" spans="1:16" x14ac:dyDescent="0.3">
      <c r="A400" s="1" t="s">
        <v>523</v>
      </c>
      <c r="B400" s="2">
        <v>45320</v>
      </c>
      <c r="C400" s="2" t="str">
        <f>TEXT(E_Commerce_data[[#This Row],[order_date]],"MMM")</f>
        <v>Jan</v>
      </c>
      <c r="D400" s="1" t="s">
        <v>318</v>
      </c>
      <c r="E400" s="1" t="s">
        <v>319</v>
      </c>
      <c r="F400" s="1" t="s">
        <v>93</v>
      </c>
      <c r="G400" s="1" t="s">
        <v>27</v>
      </c>
      <c r="H400" s="2">
        <v>45054</v>
      </c>
      <c r="I400" s="1" t="s">
        <v>489</v>
      </c>
      <c r="J400" s="1" t="s">
        <v>490</v>
      </c>
      <c r="K400" s="1" t="s">
        <v>22</v>
      </c>
      <c r="L400" s="1">
        <v>11544.23</v>
      </c>
      <c r="M400" s="1">
        <v>4</v>
      </c>
      <c r="N400" s="1">
        <v>0</v>
      </c>
      <c r="O400" s="1">
        <v>46176.92</v>
      </c>
      <c r="P400" s="1">
        <v>7502.54</v>
      </c>
    </row>
    <row r="401" spans="1:16" x14ac:dyDescent="0.3">
      <c r="A401" s="1" t="s">
        <v>996</v>
      </c>
      <c r="B401" s="2">
        <v>45957</v>
      </c>
      <c r="C401" s="2" t="str">
        <f>TEXT(E_Commerce_data[[#This Row],[order_date]],"MMM")</f>
        <v>Oct</v>
      </c>
      <c r="D401" s="1" t="s">
        <v>237</v>
      </c>
      <c r="E401" s="1" t="s">
        <v>238</v>
      </c>
      <c r="F401" s="1" t="s">
        <v>93</v>
      </c>
      <c r="G401" s="1" t="s">
        <v>27</v>
      </c>
      <c r="H401" s="2">
        <v>45151</v>
      </c>
      <c r="I401" s="1" t="s">
        <v>964</v>
      </c>
      <c r="J401" s="1" t="s">
        <v>965</v>
      </c>
      <c r="K401" s="1" t="s">
        <v>902</v>
      </c>
      <c r="L401" s="1">
        <v>3589.32</v>
      </c>
      <c r="M401" s="1">
        <v>3</v>
      </c>
      <c r="N401" s="1">
        <v>0</v>
      </c>
      <c r="O401" s="1">
        <v>10767.96</v>
      </c>
      <c r="P401" s="1">
        <v>3249.26</v>
      </c>
    </row>
    <row r="402" spans="1:16" x14ac:dyDescent="0.3">
      <c r="A402" s="1" t="s">
        <v>442</v>
      </c>
      <c r="B402" s="2">
        <v>45331</v>
      </c>
      <c r="C402" s="2" t="str">
        <f>TEXT(E_Commerce_data[[#This Row],[order_date]],"MMM")</f>
        <v>Feb</v>
      </c>
      <c r="D402" s="1" t="s">
        <v>132</v>
      </c>
      <c r="E402" s="1" t="s">
        <v>133</v>
      </c>
      <c r="F402" s="1" t="s">
        <v>76</v>
      </c>
      <c r="G402" s="1" t="s">
        <v>32</v>
      </c>
      <c r="H402" s="2">
        <v>45359</v>
      </c>
      <c r="I402" s="1" t="s">
        <v>420</v>
      </c>
      <c r="J402" s="1" t="s">
        <v>421</v>
      </c>
      <c r="K402" s="1" t="s">
        <v>22</v>
      </c>
      <c r="L402" s="1">
        <v>29436.02</v>
      </c>
      <c r="M402" s="1">
        <v>3</v>
      </c>
      <c r="N402" s="1">
        <v>0.2</v>
      </c>
      <c r="O402" s="1">
        <v>70646.45</v>
      </c>
      <c r="P402" s="1">
        <v>6627.68</v>
      </c>
    </row>
    <row r="403" spans="1:16" x14ac:dyDescent="0.3">
      <c r="A403" s="1" t="s">
        <v>524</v>
      </c>
      <c r="B403" s="2">
        <v>45434</v>
      </c>
      <c r="C403" s="2" t="str">
        <f>TEXT(E_Commerce_data[[#This Row],[order_date]],"MMM")</f>
        <v>May</v>
      </c>
      <c r="D403" s="1" t="s">
        <v>78</v>
      </c>
      <c r="E403" s="1" t="s">
        <v>79</v>
      </c>
      <c r="F403" s="1" t="s">
        <v>76</v>
      </c>
      <c r="G403" s="1" t="s">
        <v>32</v>
      </c>
      <c r="H403" s="2">
        <v>45365</v>
      </c>
      <c r="I403" s="1" t="s">
        <v>489</v>
      </c>
      <c r="J403" s="1" t="s">
        <v>490</v>
      </c>
      <c r="K403" s="1" t="s">
        <v>22</v>
      </c>
      <c r="L403" s="1">
        <v>11544.23</v>
      </c>
      <c r="M403" s="1">
        <v>3</v>
      </c>
      <c r="N403" s="1">
        <v>0.2</v>
      </c>
      <c r="O403" s="1">
        <v>27706.15</v>
      </c>
      <c r="P403" s="1">
        <v>5312.28</v>
      </c>
    </row>
    <row r="404" spans="1:16" x14ac:dyDescent="0.3">
      <c r="A404" s="1" t="s">
        <v>117</v>
      </c>
      <c r="B404" s="2">
        <v>45373</v>
      </c>
      <c r="C404" s="2" t="str">
        <f>TEXT(E_Commerce_data[[#This Row],[order_date]],"MMM")</f>
        <v>Mar</v>
      </c>
      <c r="D404" s="1" t="s">
        <v>118</v>
      </c>
      <c r="E404" s="1" t="s">
        <v>119</v>
      </c>
      <c r="F404" s="1" t="s">
        <v>26</v>
      </c>
      <c r="G404" s="1" t="s">
        <v>27</v>
      </c>
      <c r="H404" s="2">
        <v>45086</v>
      </c>
      <c r="I404" s="1" t="s">
        <v>20</v>
      </c>
      <c r="J404" s="1" t="s">
        <v>21</v>
      </c>
      <c r="K404" s="1" t="s">
        <v>22</v>
      </c>
      <c r="L404" s="1">
        <v>6094.16</v>
      </c>
      <c r="M404" s="1">
        <v>4</v>
      </c>
      <c r="N404" s="1">
        <v>0.05</v>
      </c>
      <c r="O404" s="1">
        <v>23157.81</v>
      </c>
      <c r="P404" s="1">
        <v>5432.93</v>
      </c>
    </row>
    <row r="405" spans="1:16" x14ac:dyDescent="0.3">
      <c r="A405" s="1" t="s">
        <v>661</v>
      </c>
      <c r="B405" s="2">
        <v>45445</v>
      </c>
      <c r="C405" s="2" t="str">
        <f>TEXT(E_Commerce_data[[#This Row],[order_date]],"MMM")</f>
        <v>Jun</v>
      </c>
      <c r="D405" s="1" t="s">
        <v>106</v>
      </c>
      <c r="E405" s="1" t="s">
        <v>107</v>
      </c>
      <c r="F405" s="1" t="s">
        <v>47</v>
      </c>
      <c r="G405" s="1" t="s">
        <v>48</v>
      </c>
      <c r="H405" s="2">
        <v>45375</v>
      </c>
      <c r="I405" s="1" t="s">
        <v>633</v>
      </c>
      <c r="J405" s="1" t="s">
        <v>634</v>
      </c>
      <c r="K405" s="1" t="s">
        <v>560</v>
      </c>
      <c r="L405" s="1">
        <v>3596.1</v>
      </c>
      <c r="M405" s="1">
        <v>1</v>
      </c>
      <c r="N405" s="1">
        <v>0</v>
      </c>
      <c r="O405" s="1">
        <v>3596.1</v>
      </c>
      <c r="P405" s="1">
        <v>412.46</v>
      </c>
    </row>
    <row r="406" spans="1:16" x14ac:dyDescent="0.3">
      <c r="A406" s="1" t="s">
        <v>997</v>
      </c>
      <c r="B406" s="2">
        <v>45725</v>
      </c>
      <c r="C406" s="2" t="str">
        <f>TEXT(E_Commerce_data[[#This Row],[order_date]],"MMM")</f>
        <v>Mar</v>
      </c>
      <c r="D406" s="1" t="s">
        <v>70</v>
      </c>
      <c r="E406" s="1" t="s">
        <v>71</v>
      </c>
      <c r="F406" s="1" t="s">
        <v>72</v>
      </c>
      <c r="G406" s="1" t="s">
        <v>48</v>
      </c>
      <c r="H406" s="2">
        <v>45150</v>
      </c>
      <c r="I406" s="1" t="s">
        <v>964</v>
      </c>
      <c r="J406" s="1" t="s">
        <v>965</v>
      </c>
      <c r="K406" s="1" t="s">
        <v>902</v>
      </c>
      <c r="L406" s="1">
        <v>3589.32</v>
      </c>
      <c r="M406" s="1">
        <v>5</v>
      </c>
      <c r="N406" s="1">
        <v>0.15</v>
      </c>
      <c r="O406" s="1">
        <v>15254.61</v>
      </c>
      <c r="P406" s="1">
        <v>3549.2</v>
      </c>
    </row>
    <row r="407" spans="1:16" x14ac:dyDescent="0.3">
      <c r="A407" s="1" t="s">
        <v>1197</v>
      </c>
      <c r="B407" s="2">
        <v>45600</v>
      </c>
      <c r="C407" s="2" t="str">
        <f>TEXT(E_Commerce_data[[#This Row],[order_date]],"MMM")</f>
        <v>Nov</v>
      </c>
      <c r="D407" s="1" t="s">
        <v>643</v>
      </c>
      <c r="E407" s="1" t="s">
        <v>644</v>
      </c>
      <c r="F407" s="1" t="s">
        <v>93</v>
      </c>
      <c r="G407" s="1" t="s">
        <v>27</v>
      </c>
      <c r="H407" s="2">
        <v>45130</v>
      </c>
      <c r="I407" s="1" t="s">
        <v>1162</v>
      </c>
      <c r="J407" s="1" t="s">
        <v>1163</v>
      </c>
      <c r="K407" s="1" t="s">
        <v>902</v>
      </c>
      <c r="L407" s="1">
        <v>10751.13</v>
      </c>
      <c r="M407" s="1">
        <v>1</v>
      </c>
      <c r="N407" s="1">
        <v>0.2</v>
      </c>
      <c r="O407" s="1">
        <v>8600.9</v>
      </c>
      <c r="P407" s="1">
        <v>1173.42</v>
      </c>
    </row>
    <row r="408" spans="1:16" x14ac:dyDescent="0.3">
      <c r="A408" s="1" t="s">
        <v>368</v>
      </c>
      <c r="B408" s="2">
        <v>45946</v>
      </c>
      <c r="C408" s="2" t="str">
        <f>TEXT(E_Commerce_data[[#This Row],[order_date]],"MMM")</f>
        <v>Oct</v>
      </c>
      <c r="D408" s="1" t="s">
        <v>109</v>
      </c>
      <c r="E408" s="1" t="s">
        <v>110</v>
      </c>
      <c r="F408" s="1" t="s">
        <v>31</v>
      </c>
      <c r="G408" s="1" t="s">
        <v>32</v>
      </c>
      <c r="H408" s="2">
        <v>45026</v>
      </c>
      <c r="I408" s="1" t="s">
        <v>315</v>
      </c>
      <c r="J408" s="1" t="s">
        <v>316</v>
      </c>
      <c r="K408" s="1" t="s">
        <v>22</v>
      </c>
      <c r="L408" s="1">
        <v>16937.37</v>
      </c>
      <c r="M408" s="1">
        <v>1</v>
      </c>
      <c r="N408" s="1">
        <v>0</v>
      </c>
      <c r="O408" s="1">
        <v>16937.37</v>
      </c>
      <c r="P408" s="1">
        <v>2058.4299999999998</v>
      </c>
    </row>
    <row r="409" spans="1:16" x14ac:dyDescent="0.3">
      <c r="A409" s="1" t="s">
        <v>1198</v>
      </c>
      <c r="B409" s="2">
        <v>45803</v>
      </c>
      <c r="C409" s="2" t="str">
        <f>TEXT(E_Commerce_data[[#This Row],[order_date]],"MMM")</f>
        <v>May</v>
      </c>
      <c r="D409" s="1" t="s">
        <v>424</v>
      </c>
      <c r="E409" s="1" t="s">
        <v>425</v>
      </c>
      <c r="F409" s="1" t="s">
        <v>43</v>
      </c>
      <c r="G409" s="1" t="s">
        <v>32</v>
      </c>
      <c r="H409" s="2">
        <v>45489</v>
      </c>
      <c r="I409" s="1" t="s">
        <v>1162</v>
      </c>
      <c r="J409" s="1" t="s">
        <v>1163</v>
      </c>
      <c r="K409" s="1" t="s">
        <v>902</v>
      </c>
      <c r="L409" s="1">
        <v>10751.13</v>
      </c>
      <c r="M409" s="1">
        <v>5</v>
      </c>
      <c r="N409" s="1">
        <v>0.05</v>
      </c>
      <c r="O409" s="1">
        <v>51067.87</v>
      </c>
      <c r="P409" s="1">
        <v>3515.62</v>
      </c>
    </row>
    <row r="410" spans="1:16" x14ac:dyDescent="0.3">
      <c r="A410" s="1" t="s">
        <v>443</v>
      </c>
      <c r="B410" s="2">
        <v>45819</v>
      </c>
      <c r="C410" s="2" t="str">
        <f>TEXT(E_Commerce_data[[#This Row],[order_date]],"MMM")</f>
        <v>Jun</v>
      </c>
      <c r="D410" s="1" t="s">
        <v>444</v>
      </c>
      <c r="E410" s="1" t="s">
        <v>445</v>
      </c>
      <c r="F410" s="1" t="s">
        <v>76</v>
      </c>
      <c r="G410" s="1" t="s">
        <v>32</v>
      </c>
      <c r="H410" s="2">
        <v>45123</v>
      </c>
      <c r="I410" s="1" t="s">
        <v>420</v>
      </c>
      <c r="J410" s="1" t="s">
        <v>421</v>
      </c>
      <c r="K410" s="1" t="s">
        <v>22</v>
      </c>
      <c r="L410" s="1">
        <v>29436.02</v>
      </c>
      <c r="M410" s="1">
        <v>5</v>
      </c>
      <c r="N410" s="1">
        <v>0.1</v>
      </c>
      <c r="O410" s="1">
        <v>132462.09</v>
      </c>
      <c r="P410" s="1">
        <v>7276.22</v>
      </c>
    </row>
    <row r="411" spans="1:16" x14ac:dyDescent="0.3">
      <c r="A411" s="1" t="s">
        <v>1059</v>
      </c>
      <c r="B411" s="2">
        <v>45590</v>
      </c>
      <c r="C411" s="2" t="str">
        <f>TEXT(E_Commerce_data[[#This Row],[order_date]],"MMM")</f>
        <v>Oct</v>
      </c>
      <c r="D411" s="1" t="s">
        <v>495</v>
      </c>
      <c r="E411" s="1" t="s">
        <v>496</v>
      </c>
      <c r="F411" s="1" t="s">
        <v>36</v>
      </c>
      <c r="G411" s="1" t="s">
        <v>32</v>
      </c>
      <c r="H411" s="2">
        <v>45623</v>
      </c>
      <c r="I411" s="1" t="s">
        <v>1034</v>
      </c>
      <c r="J411" s="1" t="s">
        <v>1035</v>
      </c>
      <c r="K411" s="1" t="s">
        <v>902</v>
      </c>
      <c r="L411" s="1">
        <v>11938.33</v>
      </c>
      <c r="M411" s="1">
        <v>5</v>
      </c>
      <c r="N411" s="1">
        <v>0</v>
      </c>
      <c r="O411" s="1">
        <v>59691.65</v>
      </c>
      <c r="P411" s="1">
        <v>15851.91</v>
      </c>
    </row>
    <row r="412" spans="1:16" x14ac:dyDescent="0.3">
      <c r="A412" s="1" t="s">
        <v>588</v>
      </c>
      <c r="B412" s="2">
        <v>45538</v>
      </c>
      <c r="C412" s="2" t="str">
        <f>TEXT(E_Commerce_data[[#This Row],[order_date]],"MMM")</f>
        <v>Sep</v>
      </c>
      <c r="D412" s="1" t="s">
        <v>424</v>
      </c>
      <c r="E412" s="1" t="s">
        <v>425</v>
      </c>
      <c r="F412" s="1" t="s">
        <v>43</v>
      </c>
      <c r="G412" s="1" t="s">
        <v>32</v>
      </c>
      <c r="H412" s="2">
        <v>45489</v>
      </c>
      <c r="I412" s="1" t="s">
        <v>558</v>
      </c>
      <c r="J412" s="1" t="s">
        <v>559</v>
      </c>
      <c r="K412" s="1" t="s">
        <v>560</v>
      </c>
      <c r="L412" s="1">
        <v>11049.86</v>
      </c>
      <c r="M412" s="1">
        <v>4</v>
      </c>
      <c r="N412" s="1">
        <v>0</v>
      </c>
      <c r="O412" s="1">
        <v>44199.44</v>
      </c>
      <c r="P412" s="1">
        <v>10362.24</v>
      </c>
    </row>
    <row r="413" spans="1:16" x14ac:dyDescent="0.3">
      <c r="A413" s="1" t="s">
        <v>525</v>
      </c>
      <c r="B413" s="2">
        <v>45976</v>
      </c>
      <c r="C413" s="2" t="str">
        <f>TEXT(E_Commerce_data[[#This Row],[order_date]],"MMM")</f>
        <v>Nov</v>
      </c>
      <c r="D413" s="1" t="s">
        <v>41</v>
      </c>
      <c r="E413" s="1" t="s">
        <v>42</v>
      </c>
      <c r="F413" s="1" t="s">
        <v>43</v>
      </c>
      <c r="G413" s="1" t="s">
        <v>32</v>
      </c>
      <c r="H413" s="2">
        <v>45020</v>
      </c>
      <c r="I413" s="1" t="s">
        <v>489</v>
      </c>
      <c r="J413" s="1" t="s">
        <v>490</v>
      </c>
      <c r="K413" s="1" t="s">
        <v>22</v>
      </c>
      <c r="L413" s="1">
        <v>11544.23</v>
      </c>
      <c r="M413" s="1">
        <v>5</v>
      </c>
      <c r="N413" s="1">
        <v>0.05</v>
      </c>
      <c r="O413" s="1">
        <v>54835.09</v>
      </c>
      <c r="P413" s="1">
        <v>5823.17</v>
      </c>
    </row>
    <row r="414" spans="1:16" x14ac:dyDescent="0.3">
      <c r="A414" s="1" t="s">
        <v>792</v>
      </c>
      <c r="B414" s="2">
        <v>45361</v>
      </c>
      <c r="C414" s="2" t="str">
        <f>TEXT(E_Commerce_data[[#This Row],[order_date]],"MMM")</f>
        <v>Mar</v>
      </c>
      <c r="D414" s="1" t="s">
        <v>225</v>
      </c>
      <c r="E414" s="1" t="s">
        <v>226</v>
      </c>
      <c r="F414" s="1" t="s">
        <v>76</v>
      </c>
      <c r="G414" s="1" t="s">
        <v>32</v>
      </c>
      <c r="H414" s="2">
        <v>45335</v>
      </c>
      <c r="I414" s="1" t="s">
        <v>763</v>
      </c>
      <c r="J414" s="1" t="s">
        <v>764</v>
      </c>
      <c r="K414" s="1" t="s">
        <v>560</v>
      </c>
      <c r="L414" s="1">
        <v>11485.64</v>
      </c>
      <c r="M414" s="1">
        <v>1</v>
      </c>
      <c r="N414" s="1">
        <v>0.1</v>
      </c>
      <c r="O414" s="1">
        <v>10337.08</v>
      </c>
      <c r="P414" s="1">
        <v>3539.38</v>
      </c>
    </row>
    <row r="415" spans="1:16" x14ac:dyDescent="0.3">
      <c r="A415" s="1" t="s">
        <v>860</v>
      </c>
      <c r="B415" s="2">
        <v>45811</v>
      </c>
      <c r="C415" s="2" t="str">
        <f>TEXT(E_Commerce_data[[#This Row],[order_date]],"MMM")</f>
        <v>Jun</v>
      </c>
      <c r="D415" s="1" t="s">
        <v>495</v>
      </c>
      <c r="E415" s="1" t="s">
        <v>496</v>
      </c>
      <c r="F415" s="1" t="s">
        <v>36</v>
      </c>
      <c r="G415" s="1" t="s">
        <v>32</v>
      </c>
      <c r="H415" s="2">
        <v>45623</v>
      </c>
      <c r="I415" s="1" t="s">
        <v>822</v>
      </c>
      <c r="J415" s="1" t="s">
        <v>823</v>
      </c>
      <c r="K415" s="1" t="s">
        <v>560</v>
      </c>
      <c r="L415" s="1">
        <v>45275.73</v>
      </c>
      <c r="M415" s="1">
        <v>5</v>
      </c>
      <c r="N415" s="1">
        <v>0.1</v>
      </c>
      <c r="O415" s="1">
        <v>203740.79</v>
      </c>
      <c r="P415" s="1">
        <v>41196.04</v>
      </c>
    </row>
    <row r="416" spans="1:16" x14ac:dyDescent="0.3">
      <c r="A416" s="1" t="s">
        <v>589</v>
      </c>
      <c r="B416" s="2">
        <v>45773</v>
      </c>
      <c r="C416" s="2" t="str">
        <f>TEXT(E_Commerce_data[[#This Row],[order_date]],"MMM")</f>
        <v>Apr</v>
      </c>
      <c r="D416" s="1" t="s">
        <v>147</v>
      </c>
      <c r="E416" s="1" t="s">
        <v>148</v>
      </c>
      <c r="F416" s="1" t="s">
        <v>36</v>
      </c>
      <c r="G416" s="1" t="s">
        <v>32</v>
      </c>
      <c r="H416" s="2">
        <v>45090</v>
      </c>
      <c r="I416" s="1" t="s">
        <v>558</v>
      </c>
      <c r="J416" s="1" t="s">
        <v>559</v>
      </c>
      <c r="K416" s="1" t="s">
        <v>560</v>
      </c>
      <c r="L416" s="1">
        <v>11049.86</v>
      </c>
      <c r="M416" s="1">
        <v>5</v>
      </c>
      <c r="N416" s="1">
        <v>0</v>
      </c>
      <c r="O416" s="1">
        <v>55249.3</v>
      </c>
      <c r="P416" s="1">
        <v>9234.15</v>
      </c>
    </row>
    <row r="417" spans="1:16" x14ac:dyDescent="0.3">
      <c r="A417" s="1" t="s">
        <v>120</v>
      </c>
      <c r="B417" s="2">
        <v>45674</v>
      </c>
      <c r="C417" s="2" t="str">
        <f>TEXT(E_Commerce_data[[#This Row],[order_date]],"MMM")</f>
        <v>Jan</v>
      </c>
      <c r="D417" s="1" t="s">
        <v>121</v>
      </c>
      <c r="E417" s="1" t="s">
        <v>122</v>
      </c>
      <c r="F417" s="1" t="s">
        <v>26</v>
      </c>
      <c r="G417" s="1" t="s">
        <v>27</v>
      </c>
      <c r="H417" s="2">
        <v>44994</v>
      </c>
      <c r="I417" s="1" t="s">
        <v>20</v>
      </c>
      <c r="J417" s="1" t="s">
        <v>21</v>
      </c>
      <c r="K417" s="1" t="s">
        <v>22</v>
      </c>
      <c r="L417" s="1">
        <v>6094.16</v>
      </c>
      <c r="M417" s="1">
        <v>1</v>
      </c>
      <c r="N417" s="1">
        <v>0.15</v>
      </c>
      <c r="O417" s="1">
        <v>5180.04</v>
      </c>
      <c r="P417" s="1">
        <v>860.22</v>
      </c>
    </row>
    <row r="418" spans="1:16" x14ac:dyDescent="0.3">
      <c r="A418" s="1" t="s">
        <v>1123</v>
      </c>
      <c r="B418" s="2">
        <v>45361</v>
      </c>
      <c r="C418" s="2" t="str">
        <f>TEXT(E_Commerce_data[[#This Row],[order_date]],"MMM")</f>
        <v>Mar</v>
      </c>
      <c r="D418" s="1" t="s">
        <v>203</v>
      </c>
      <c r="E418" s="1" t="s">
        <v>204</v>
      </c>
      <c r="F418" s="1" t="s">
        <v>76</v>
      </c>
      <c r="G418" s="1" t="s">
        <v>32</v>
      </c>
      <c r="H418" s="2">
        <v>45297</v>
      </c>
      <c r="I418" s="1" t="s">
        <v>1102</v>
      </c>
      <c r="J418" s="1" t="s">
        <v>1103</v>
      </c>
      <c r="K418" s="1" t="s">
        <v>902</v>
      </c>
      <c r="L418" s="1">
        <v>33465.440000000002</v>
      </c>
      <c r="M418" s="1">
        <v>3</v>
      </c>
      <c r="N418" s="1">
        <v>0.15</v>
      </c>
      <c r="O418" s="1">
        <v>85336.87</v>
      </c>
      <c r="P418" s="1">
        <v>4682.66</v>
      </c>
    </row>
    <row r="419" spans="1:16" x14ac:dyDescent="0.3">
      <c r="A419" s="1" t="s">
        <v>1199</v>
      </c>
      <c r="B419" s="2">
        <v>45935</v>
      </c>
      <c r="C419" s="2" t="str">
        <f>TEXT(E_Commerce_data[[#This Row],[order_date]],"MMM")</f>
        <v>Oct</v>
      </c>
      <c r="D419" s="1" t="s">
        <v>324</v>
      </c>
      <c r="E419" s="1" t="s">
        <v>325</v>
      </c>
      <c r="F419" s="1" t="s">
        <v>55</v>
      </c>
      <c r="G419" s="1" t="s">
        <v>27</v>
      </c>
      <c r="H419" s="2">
        <v>45473</v>
      </c>
      <c r="I419" s="1" t="s">
        <v>1162</v>
      </c>
      <c r="J419" s="1" t="s">
        <v>1163</v>
      </c>
      <c r="K419" s="1" t="s">
        <v>902</v>
      </c>
      <c r="L419" s="1">
        <v>10751.13</v>
      </c>
      <c r="M419" s="1">
        <v>3</v>
      </c>
      <c r="N419" s="1">
        <v>0</v>
      </c>
      <c r="O419" s="1">
        <v>32253.39</v>
      </c>
      <c r="P419" s="1">
        <v>8704.6200000000008</v>
      </c>
    </row>
    <row r="420" spans="1:16" x14ac:dyDescent="0.3">
      <c r="A420" s="1" t="s">
        <v>861</v>
      </c>
      <c r="B420" s="2">
        <v>45632</v>
      </c>
      <c r="C420" s="2" t="str">
        <f>TEXT(E_Commerce_data[[#This Row],[order_date]],"MMM")</f>
        <v>Dec</v>
      </c>
      <c r="D420" s="1" t="s">
        <v>324</v>
      </c>
      <c r="E420" s="1" t="s">
        <v>325</v>
      </c>
      <c r="F420" s="1" t="s">
        <v>55</v>
      </c>
      <c r="G420" s="1" t="s">
        <v>27</v>
      </c>
      <c r="H420" s="2">
        <v>45473</v>
      </c>
      <c r="I420" s="1" t="s">
        <v>822</v>
      </c>
      <c r="J420" s="1" t="s">
        <v>823</v>
      </c>
      <c r="K420" s="1" t="s">
        <v>560</v>
      </c>
      <c r="L420" s="1">
        <v>45275.73</v>
      </c>
      <c r="M420" s="1">
        <v>1</v>
      </c>
      <c r="N420" s="1">
        <v>0.2</v>
      </c>
      <c r="O420" s="1">
        <v>36220.58</v>
      </c>
      <c r="P420" s="1">
        <v>8134.09</v>
      </c>
    </row>
    <row r="421" spans="1:16" x14ac:dyDescent="0.3">
      <c r="A421" s="1" t="s">
        <v>998</v>
      </c>
      <c r="B421" s="2">
        <v>45638</v>
      </c>
      <c r="C421" s="2" t="str">
        <f>TEXT(E_Commerce_data[[#This Row],[order_date]],"MMM")</f>
        <v>Dec</v>
      </c>
      <c r="D421" s="1" t="s">
        <v>153</v>
      </c>
      <c r="E421" s="1" t="s">
        <v>154</v>
      </c>
      <c r="F421" s="1" t="s">
        <v>43</v>
      </c>
      <c r="G421" s="1" t="s">
        <v>32</v>
      </c>
      <c r="H421" s="2">
        <v>45073</v>
      </c>
      <c r="I421" s="1" t="s">
        <v>964</v>
      </c>
      <c r="J421" s="1" t="s">
        <v>965</v>
      </c>
      <c r="K421" s="1" t="s">
        <v>902</v>
      </c>
      <c r="L421" s="1">
        <v>3589.32</v>
      </c>
      <c r="M421" s="1">
        <v>2</v>
      </c>
      <c r="N421" s="1">
        <v>0</v>
      </c>
      <c r="O421" s="1">
        <v>7178.64</v>
      </c>
      <c r="P421" s="1">
        <v>1117.6400000000001</v>
      </c>
    </row>
    <row r="422" spans="1:16" x14ac:dyDescent="0.3">
      <c r="A422" s="1" t="s">
        <v>123</v>
      </c>
      <c r="B422" s="2">
        <v>45767</v>
      </c>
      <c r="C422" s="2" t="str">
        <f>TEXT(E_Commerce_data[[#This Row],[order_date]],"MMM")</f>
        <v>Apr</v>
      </c>
      <c r="D422" s="1" t="s">
        <v>106</v>
      </c>
      <c r="E422" s="1" t="s">
        <v>107</v>
      </c>
      <c r="F422" s="1" t="s">
        <v>47</v>
      </c>
      <c r="G422" s="1" t="s">
        <v>48</v>
      </c>
      <c r="H422" s="2">
        <v>45375</v>
      </c>
      <c r="I422" s="1" t="s">
        <v>20</v>
      </c>
      <c r="J422" s="1" t="s">
        <v>21</v>
      </c>
      <c r="K422" s="1" t="s">
        <v>22</v>
      </c>
      <c r="L422" s="1">
        <v>6094.16</v>
      </c>
      <c r="M422" s="1">
        <v>2</v>
      </c>
      <c r="N422" s="1">
        <v>0.2</v>
      </c>
      <c r="O422" s="1">
        <v>9750.66</v>
      </c>
      <c r="P422" s="1">
        <v>2766.68</v>
      </c>
    </row>
    <row r="423" spans="1:16" x14ac:dyDescent="0.3">
      <c r="A423" s="1" t="s">
        <v>369</v>
      </c>
      <c r="B423" s="2">
        <v>45430</v>
      </c>
      <c r="C423" s="2" t="str">
        <f>TEXT(E_Commerce_data[[#This Row],[order_date]],"MMM")</f>
        <v>May</v>
      </c>
      <c r="D423" s="1" t="s">
        <v>243</v>
      </c>
      <c r="E423" s="1" t="s">
        <v>244</v>
      </c>
      <c r="F423" s="1" t="s">
        <v>18</v>
      </c>
      <c r="G423" s="1" t="s">
        <v>19</v>
      </c>
      <c r="H423" s="2">
        <v>45223</v>
      </c>
      <c r="I423" s="1" t="s">
        <v>315</v>
      </c>
      <c r="J423" s="1" t="s">
        <v>316</v>
      </c>
      <c r="K423" s="1" t="s">
        <v>22</v>
      </c>
      <c r="L423" s="1">
        <v>16937.37</v>
      </c>
      <c r="M423" s="1">
        <v>4</v>
      </c>
      <c r="N423" s="1">
        <v>0.15</v>
      </c>
      <c r="O423" s="1">
        <v>57587.06</v>
      </c>
      <c r="P423" s="1">
        <v>6028.41</v>
      </c>
    </row>
    <row r="424" spans="1:16" x14ac:dyDescent="0.3">
      <c r="A424" s="1" t="s">
        <v>725</v>
      </c>
      <c r="B424" s="2">
        <v>45760</v>
      </c>
      <c r="C424" s="2" t="str">
        <f>TEXT(E_Commerce_data[[#This Row],[order_date]],"MMM")</f>
        <v>Apr</v>
      </c>
      <c r="D424" s="1" t="s">
        <v>70</v>
      </c>
      <c r="E424" s="1" t="s">
        <v>71</v>
      </c>
      <c r="F424" s="1" t="s">
        <v>72</v>
      </c>
      <c r="G424" s="1" t="s">
        <v>48</v>
      </c>
      <c r="H424" s="2">
        <v>45150</v>
      </c>
      <c r="I424" s="1" t="s">
        <v>706</v>
      </c>
      <c r="J424" s="1" t="s">
        <v>707</v>
      </c>
      <c r="K424" s="1" t="s">
        <v>560</v>
      </c>
      <c r="L424" s="1">
        <v>31573.59</v>
      </c>
      <c r="M424" s="1">
        <v>1</v>
      </c>
      <c r="N424" s="1">
        <v>0.15</v>
      </c>
      <c r="O424" s="1">
        <v>26837.55</v>
      </c>
      <c r="P424" s="1">
        <v>7591.19</v>
      </c>
    </row>
    <row r="425" spans="1:16" x14ac:dyDescent="0.3">
      <c r="A425" s="1" t="s">
        <v>726</v>
      </c>
      <c r="B425" s="2">
        <v>45496</v>
      </c>
      <c r="C425" s="2" t="str">
        <f>TEXT(E_Commerce_data[[#This Row],[order_date]],"MMM")</f>
        <v>Jul</v>
      </c>
      <c r="D425" s="1" t="s">
        <v>186</v>
      </c>
      <c r="E425" s="1" t="s">
        <v>187</v>
      </c>
      <c r="F425" s="1" t="s">
        <v>26</v>
      </c>
      <c r="G425" s="1" t="s">
        <v>27</v>
      </c>
      <c r="H425" s="2">
        <v>45493</v>
      </c>
      <c r="I425" s="1" t="s">
        <v>706</v>
      </c>
      <c r="J425" s="1" t="s">
        <v>707</v>
      </c>
      <c r="K425" s="1" t="s">
        <v>560</v>
      </c>
      <c r="L425" s="1">
        <v>31573.59</v>
      </c>
      <c r="M425" s="1">
        <v>1</v>
      </c>
      <c r="N425" s="1">
        <v>0</v>
      </c>
      <c r="O425" s="1">
        <v>31573.59</v>
      </c>
      <c r="P425" s="1">
        <v>3488.16</v>
      </c>
    </row>
    <row r="426" spans="1:16" x14ac:dyDescent="0.3">
      <c r="A426" s="1" t="s">
        <v>1124</v>
      </c>
      <c r="B426" s="2">
        <v>45819</v>
      </c>
      <c r="C426" s="2" t="str">
        <f>TEXT(E_Commerce_data[[#This Row],[order_date]],"MMM")</f>
        <v>Jun</v>
      </c>
      <c r="D426" s="1" t="s">
        <v>255</v>
      </c>
      <c r="E426" s="1" t="s">
        <v>256</v>
      </c>
      <c r="F426" s="1" t="s">
        <v>26</v>
      </c>
      <c r="G426" s="1" t="s">
        <v>27</v>
      </c>
      <c r="H426" s="2">
        <v>45372</v>
      </c>
      <c r="I426" s="1" t="s">
        <v>1102</v>
      </c>
      <c r="J426" s="1" t="s">
        <v>1103</v>
      </c>
      <c r="K426" s="1" t="s">
        <v>902</v>
      </c>
      <c r="L426" s="1">
        <v>33465.440000000002</v>
      </c>
      <c r="M426" s="1">
        <v>1</v>
      </c>
      <c r="N426" s="1">
        <v>0</v>
      </c>
      <c r="O426" s="1">
        <v>33465.440000000002</v>
      </c>
      <c r="P426" s="1">
        <v>11043.97</v>
      </c>
    </row>
    <row r="427" spans="1:16" x14ac:dyDescent="0.3">
      <c r="A427" s="1" t="s">
        <v>273</v>
      </c>
      <c r="B427" s="2">
        <v>45551</v>
      </c>
      <c r="C427" s="2" t="str">
        <f>TEXT(E_Commerce_data[[#This Row],[order_date]],"MMM")</f>
        <v>Sep</v>
      </c>
      <c r="D427" s="1" t="s">
        <v>85</v>
      </c>
      <c r="E427" s="1" t="s">
        <v>86</v>
      </c>
      <c r="F427" s="1" t="s">
        <v>36</v>
      </c>
      <c r="G427" s="1" t="s">
        <v>32</v>
      </c>
      <c r="H427" s="2">
        <v>44957</v>
      </c>
      <c r="I427" s="1" t="s">
        <v>215</v>
      </c>
      <c r="J427" s="1" t="s">
        <v>216</v>
      </c>
      <c r="K427" s="1" t="s">
        <v>22</v>
      </c>
      <c r="L427" s="1">
        <v>11273.63</v>
      </c>
      <c r="M427" s="1">
        <v>4</v>
      </c>
      <c r="N427" s="1">
        <v>0.2</v>
      </c>
      <c r="O427" s="1">
        <v>36075.620000000003</v>
      </c>
      <c r="P427" s="1">
        <v>7680.83</v>
      </c>
    </row>
    <row r="428" spans="1:16" x14ac:dyDescent="0.3">
      <c r="A428" s="1" t="s">
        <v>590</v>
      </c>
      <c r="B428" s="2">
        <v>45584</v>
      </c>
      <c r="C428" s="2" t="str">
        <f>TEXT(E_Commerce_data[[#This Row],[order_date]],"MMM")</f>
        <v>Oct</v>
      </c>
      <c r="D428" s="1" t="s">
        <v>424</v>
      </c>
      <c r="E428" s="1" t="s">
        <v>425</v>
      </c>
      <c r="F428" s="1" t="s">
        <v>43</v>
      </c>
      <c r="G428" s="1" t="s">
        <v>32</v>
      </c>
      <c r="H428" s="2">
        <v>45489</v>
      </c>
      <c r="I428" s="1" t="s">
        <v>558</v>
      </c>
      <c r="J428" s="1" t="s">
        <v>559</v>
      </c>
      <c r="K428" s="1" t="s">
        <v>560</v>
      </c>
      <c r="L428" s="1">
        <v>11049.86</v>
      </c>
      <c r="M428" s="1">
        <v>1</v>
      </c>
      <c r="N428" s="1">
        <v>0.2</v>
      </c>
      <c r="O428" s="1">
        <v>8839.89</v>
      </c>
      <c r="P428" s="1">
        <v>2157.5500000000002</v>
      </c>
    </row>
    <row r="429" spans="1:16" x14ac:dyDescent="0.3">
      <c r="A429" s="1" t="s">
        <v>662</v>
      </c>
      <c r="B429" s="2">
        <v>45963</v>
      </c>
      <c r="C429" s="2" t="str">
        <f>TEXT(E_Commerce_data[[#This Row],[order_date]],"MMM")</f>
        <v>Nov</v>
      </c>
      <c r="D429" s="1" t="s">
        <v>150</v>
      </c>
      <c r="E429" s="1" t="s">
        <v>151</v>
      </c>
      <c r="F429" s="1" t="s">
        <v>93</v>
      </c>
      <c r="G429" s="1" t="s">
        <v>27</v>
      </c>
      <c r="H429" s="2">
        <v>45470</v>
      </c>
      <c r="I429" s="1" t="s">
        <v>633</v>
      </c>
      <c r="J429" s="1" t="s">
        <v>634</v>
      </c>
      <c r="K429" s="1" t="s">
        <v>560</v>
      </c>
      <c r="L429" s="1">
        <v>3596.1</v>
      </c>
      <c r="M429" s="1">
        <v>3</v>
      </c>
      <c r="N429" s="1">
        <v>0.2</v>
      </c>
      <c r="O429" s="1">
        <v>8630.64</v>
      </c>
      <c r="P429" s="1">
        <v>2453.2800000000002</v>
      </c>
    </row>
    <row r="430" spans="1:16" x14ac:dyDescent="0.3">
      <c r="A430" s="1" t="s">
        <v>1060</v>
      </c>
      <c r="B430" s="2">
        <v>45668</v>
      </c>
      <c r="C430" s="2" t="str">
        <f>TEXT(E_Commerce_data[[#This Row],[order_date]],"MMM")</f>
        <v>Jan</v>
      </c>
      <c r="D430" s="1" t="s">
        <v>230</v>
      </c>
      <c r="E430" s="1" t="s">
        <v>231</v>
      </c>
      <c r="F430" s="1" t="s">
        <v>72</v>
      </c>
      <c r="G430" s="1" t="s">
        <v>48</v>
      </c>
      <c r="H430" s="2">
        <v>45550</v>
      </c>
      <c r="I430" s="1" t="s">
        <v>1034</v>
      </c>
      <c r="J430" s="1" t="s">
        <v>1035</v>
      </c>
      <c r="K430" s="1" t="s">
        <v>902</v>
      </c>
      <c r="L430" s="1">
        <v>11938.33</v>
      </c>
      <c r="M430" s="1">
        <v>3</v>
      </c>
      <c r="N430" s="1">
        <v>0</v>
      </c>
      <c r="O430" s="1">
        <v>35814.99</v>
      </c>
      <c r="P430" s="1">
        <v>3128.17</v>
      </c>
    </row>
    <row r="431" spans="1:16" x14ac:dyDescent="0.3">
      <c r="A431" s="1" t="s">
        <v>370</v>
      </c>
      <c r="B431" s="2">
        <v>45687</v>
      </c>
      <c r="C431" s="2" t="str">
        <f>TEXT(E_Commerce_data[[#This Row],[order_date]],"MMM")</f>
        <v>Jan</v>
      </c>
      <c r="D431" s="1" t="s">
        <v>371</v>
      </c>
      <c r="E431" s="1" t="s">
        <v>372</v>
      </c>
      <c r="F431" s="1" t="s">
        <v>31</v>
      </c>
      <c r="G431" s="1" t="s">
        <v>32</v>
      </c>
      <c r="H431" s="2">
        <v>45007</v>
      </c>
      <c r="I431" s="1" t="s">
        <v>315</v>
      </c>
      <c r="J431" s="1" t="s">
        <v>316</v>
      </c>
      <c r="K431" s="1" t="s">
        <v>22</v>
      </c>
      <c r="L431" s="1">
        <v>16937.37</v>
      </c>
      <c r="M431" s="1">
        <v>4</v>
      </c>
      <c r="N431" s="1">
        <v>0.05</v>
      </c>
      <c r="O431" s="1">
        <v>64362.01</v>
      </c>
      <c r="P431" s="1">
        <v>17570.330000000002</v>
      </c>
    </row>
    <row r="432" spans="1:16" x14ac:dyDescent="0.3">
      <c r="A432" s="1" t="s">
        <v>862</v>
      </c>
      <c r="B432" s="2">
        <v>45801</v>
      </c>
      <c r="C432" s="2" t="str">
        <f>TEXT(E_Commerce_data[[#This Row],[order_date]],"MMM")</f>
        <v>May</v>
      </c>
      <c r="D432" s="1" t="s">
        <v>153</v>
      </c>
      <c r="E432" s="1" t="s">
        <v>154</v>
      </c>
      <c r="F432" s="1" t="s">
        <v>43</v>
      </c>
      <c r="G432" s="1" t="s">
        <v>32</v>
      </c>
      <c r="H432" s="2">
        <v>45073</v>
      </c>
      <c r="I432" s="1" t="s">
        <v>822</v>
      </c>
      <c r="J432" s="1" t="s">
        <v>823</v>
      </c>
      <c r="K432" s="1" t="s">
        <v>560</v>
      </c>
      <c r="L432" s="1">
        <v>45275.73</v>
      </c>
      <c r="M432" s="1">
        <v>3</v>
      </c>
      <c r="N432" s="1">
        <v>0</v>
      </c>
      <c r="O432" s="1">
        <v>135827.19</v>
      </c>
      <c r="P432" s="1">
        <v>27010.73</v>
      </c>
    </row>
    <row r="433" spans="1:16" x14ac:dyDescent="0.3">
      <c r="A433" s="1" t="s">
        <v>1200</v>
      </c>
      <c r="B433" s="2">
        <v>45376</v>
      </c>
      <c r="C433" s="2" t="str">
        <f>TEXT(E_Commerce_data[[#This Row],[order_date]],"MMM")</f>
        <v>Mar</v>
      </c>
      <c r="D433" s="1" t="s">
        <v>96</v>
      </c>
      <c r="E433" s="1" t="s">
        <v>97</v>
      </c>
      <c r="F433" s="1" t="s">
        <v>18</v>
      </c>
      <c r="G433" s="1" t="s">
        <v>19</v>
      </c>
      <c r="H433" s="2">
        <v>45094</v>
      </c>
      <c r="I433" s="1" t="s">
        <v>1162</v>
      </c>
      <c r="J433" s="1" t="s">
        <v>1163</v>
      </c>
      <c r="K433" s="1" t="s">
        <v>902</v>
      </c>
      <c r="L433" s="1">
        <v>10751.13</v>
      </c>
      <c r="M433" s="1">
        <v>3</v>
      </c>
      <c r="N433" s="1">
        <v>0.2</v>
      </c>
      <c r="O433" s="1">
        <v>25802.71</v>
      </c>
      <c r="P433" s="1">
        <v>5309.75</v>
      </c>
    </row>
    <row r="434" spans="1:16" x14ac:dyDescent="0.3">
      <c r="A434" s="1" t="s">
        <v>1201</v>
      </c>
      <c r="B434" s="2">
        <v>45476</v>
      </c>
      <c r="C434" s="2" t="str">
        <f>TEXT(E_Commerce_data[[#This Row],[order_date]],"MMM")</f>
        <v>Jul</v>
      </c>
      <c r="D434" s="1" t="s">
        <v>297</v>
      </c>
      <c r="E434" s="1" t="s">
        <v>298</v>
      </c>
      <c r="F434" s="1" t="s">
        <v>47</v>
      </c>
      <c r="G434" s="1" t="s">
        <v>48</v>
      </c>
      <c r="H434" s="2">
        <v>45092</v>
      </c>
      <c r="I434" s="1" t="s">
        <v>1162</v>
      </c>
      <c r="J434" s="1" t="s">
        <v>1163</v>
      </c>
      <c r="K434" s="1" t="s">
        <v>902</v>
      </c>
      <c r="L434" s="1">
        <v>10751.13</v>
      </c>
      <c r="M434" s="1">
        <v>4</v>
      </c>
      <c r="N434" s="1">
        <v>0</v>
      </c>
      <c r="O434" s="1">
        <v>43004.52</v>
      </c>
      <c r="P434" s="1">
        <v>7705.64</v>
      </c>
    </row>
    <row r="435" spans="1:16" x14ac:dyDescent="0.3">
      <c r="A435" s="1" t="s">
        <v>727</v>
      </c>
      <c r="B435" s="2">
        <v>45373</v>
      </c>
      <c r="C435" s="2" t="str">
        <f>TEXT(E_Commerce_data[[#This Row],[order_date]],"MMM")</f>
        <v>Mar</v>
      </c>
      <c r="D435" s="1" t="s">
        <v>66</v>
      </c>
      <c r="E435" s="1" t="s">
        <v>67</v>
      </c>
      <c r="F435" s="1" t="s">
        <v>18</v>
      </c>
      <c r="G435" s="1" t="s">
        <v>19</v>
      </c>
      <c r="H435" s="2">
        <v>45657</v>
      </c>
      <c r="I435" s="1" t="s">
        <v>706</v>
      </c>
      <c r="J435" s="1" t="s">
        <v>707</v>
      </c>
      <c r="K435" s="1" t="s">
        <v>560</v>
      </c>
      <c r="L435" s="1">
        <v>31573.59</v>
      </c>
      <c r="M435" s="1">
        <v>5</v>
      </c>
      <c r="N435" s="1">
        <v>0</v>
      </c>
      <c r="O435" s="1">
        <v>157867.95000000001</v>
      </c>
      <c r="P435" s="1">
        <v>23106.09</v>
      </c>
    </row>
    <row r="436" spans="1:16" x14ac:dyDescent="0.3">
      <c r="A436" s="1" t="s">
        <v>999</v>
      </c>
      <c r="B436" s="2">
        <v>45748</v>
      </c>
      <c r="C436" s="2" t="str">
        <f>TEXT(E_Commerce_data[[#This Row],[order_date]],"MMM")</f>
        <v>Apr</v>
      </c>
      <c r="D436" s="1" t="s">
        <v>147</v>
      </c>
      <c r="E436" s="1" t="s">
        <v>148</v>
      </c>
      <c r="F436" s="1" t="s">
        <v>36</v>
      </c>
      <c r="G436" s="1" t="s">
        <v>32</v>
      </c>
      <c r="H436" s="2">
        <v>45090</v>
      </c>
      <c r="I436" s="1" t="s">
        <v>964</v>
      </c>
      <c r="J436" s="1" t="s">
        <v>965</v>
      </c>
      <c r="K436" s="1" t="s">
        <v>902</v>
      </c>
      <c r="L436" s="1">
        <v>3589.32</v>
      </c>
      <c r="M436" s="1">
        <v>3</v>
      </c>
      <c r="N436" s="1">
        <v>0.15</v>
      </c>
      <c r="O436" s="1">
        <v>9152.77</v>
      </c>
      <c r="P436" s="1">
        <v>1269.42</v>
      </c>
    </row>
    <row r="437" spans="1:16" x14ac:dyDescent="0.3">
      <c r="A437" s="1" t="s">
        <v>923</v>
      </c>
      <c r="B437" s="2">
        <v>45998</v>
      </c>
      <c r="C437" s="2" t="str">
        <f>TEXT(E_Commerce_data[[#This Row],[order_date]],"MMM")</f>
        <v>Dec</v>
      </c>
      <c r="D437" s="1" t="s">
        <v>344</v>
      </c>
      <c r="E437" s="1" t="s">
        <v>345</v>
      </c>
      <c r="F437" s="1" t="s">
        <v>93</v>
      </c>
      <c r="G437" s="1" t="s">
        <v>27</v>
      </c>
      <c r="H437" s="2">
        <v>45356</v>
      </c>
      <c r="I437" s="1" t="s">
        <v>900</v>
      </c>
      <c r="J437" s="1" t="s">
        <v>901</v>
      </c>
      <c r="K437" s="1" t="s">
        <v>902</v>
      </c>
      <c r="L437" s="1">
        <v>42988.79</v>
      </c>
      <c r="M437" s="1">
        <v>5</v>
      </c>
      <c r="N437" s="1">
        <v>0.15</v>
      </c>
      <c r="O437" s="1">
        <v>182702.36</v>
      </c>
      <c r="P437" s="1">
        <v>32490.84</v>
      </c>
    </row>
    <row r="438" spans="1:16" x14ac:dyDescent="0.3">
      <c r="A438" s="1" t="s">
        <v>793</v>
      </c>
      <c r="B438" s="2">
        <v>45653</v>
      </c>
      <c r="C438" s="2" t="str">
        <f>TEXT(E_Commerce_data[[#This Row],[order_date]],"MMM")</f>
        <v>Dec</v>
      </c>
      <c r="D438" s="1" t="s">
        <v>222</v>
      </c>
      <c r="E438" s="1" t="s">
        <v>223</v>
      </c>
      <c r="F438" s="1" t="s">
        <v>72</v>
      </c>
      <c r="G438" s="1" t="s">
        <v>48</v>
      </c>
      <c r="H438" s="2">
        <v>45014</v>
      </c>
      <c r="I438" s="1" t="s">
        <v>763</v>
      </c>
      <c r="J438" s="1" t="s">
        <v>764</v>
      </c>
      <c r="K438" s="1" t="s">
        <v>560</v>
      </c>
      <c r="L438" s="1">
        <v>11485.64</v>
      </c>
      <c r="M438" s="1">
        <v>4</v>
      </c>
      <c r="N438" s="1">
        <v>0</v>
      </c>
      <c r="O438" s="1">
        <v>45942.559999999998</v>
      </c>
      <c r="P438" s="1">
        <v>8459.81</v>
      </c>
    </row>
    <row r="439" spans="1:16" x14ac:dyDescent="0.3">
      <c r="A439" s="1" t="s">
        <v>274</v>
      </c>
      <c r="B439" s="2">
        <v>45350</v>
      </c>
      <c r="C439" s="2" t="str">
        <f>TEXT(E_Commerce_data[[#This Row],[order_date]],"MMM")</f>
        <v>Feb</v>
      </c>
      <c r="D439" s="1" t="s">
        <v>115</v>
      </c>
      <c r="E439" s="1" t="s">
        <v>116</v>
      </c>
      <c r="F439" s="1" t="s">
        <v>93</v>
      </c>
      <c r="G439" s="1" t="s">
        <v>27</v>
      </c>
      <c r="H439" s="2">
        <v>45196</v>
      </c>
      <c r="I439" s="1" t="s">
        <v>215</v>
      </c>
      <c r="J439" s="1" t="s">
        <v>216</v>
      </c>
      <c r="K439" s="1" t="s">
        <v>22</v>
      </c>
      <c r="L439" s="1">
        <v>11273.63</v>
      </c>
      <c r="M439" s="1">
        <v>5</v>
      </c>
      <c r="N439" s="1">
        <v>0.05</v>
      </c>
      <c r="O439" s="1">
        <v>53549.74</v>
      </c>
      <c r="P439" s="1">
        <v>7088.2</v>
      </c>
    </row>
    <row r="440" spans="1:16" x14ac:dyDescent="0.3">
      <c r="A440" s="1" t="s">
        <v>663</v>
      </c>
      <c r="B440" s="2">
        <v>45664</v>
      </c>
      <c r="C440" s="2" t="str">
        <f>TEXT(E_Commerce_data[[#This Row],[order_date]],"MMM")</f>
        <v>Jan</v>
      </c>
      <c r="D440" s="1" t="s">
        <v>29</v>
      </c>
      <c r="E440" s="1" t="s">
        <v>30</v>
      </c>
      <c r="F440" s="1" t="s">
        <v>31</v>
      </c>
      <c r="G440" s="1" t="s">
        <v>32</v>
      </c>
      <c r="H440" s="2">
        <v>45537</v>
      </c>
      <c r="I440" s="1" t="s">
        <v>633</v>
      </c>
      <c r="J440" s="1" t="s">
        <v>634</v>
      </c>
      <c r="K440" s="1" t="s">
        <v>560</v>
      </c>
      <c r="L440" s="1">
        <v>3596.1</v>
      </c>
      <c r="M440" s="1">
        <v>1</v>
      </c>
      <c r="N440" s="1">
        <v>0.15</v>
      </c>
      <c r="O440" s="1">
        <v>3056.68</v>
      </c>
      <c r="P440" s="1">
        <v>737.44</v>
      </c>
    </row>
    <row r="441" spans="1:16" x14ac:dyDescent="0.3">
      <c r="A441" s="1" t="s">
        <v>124</v>
      </c>
      <c r="B441" s="2">
        <v>45455</v>
      </c>
      <c r="C441" s="2" t="str">
        <f>TEXT(E_Commerce_data[[#This Row],[order_date]],"MMM")</f>
        <v>Jun</v>
      </c>
      <c r="D441" s="1" t="s">
        <v>125</v>
      </c>
      <c r="E441" s="1" t="s">
        <v>126</v>
      </c>
      <c r="F441" s="1" t="s">
        <v>72</v>
      </c>
      <c r="G441" s="1" t="s">
        <v>48</v>
      </c>
      <c r="H441" s="2">
        <v>44952</v>
      </c>
      <c r="I441" s="1" t="s">
        <v>20</v>
      </c>
      <c r="J441" s="1" t="s">
        <v>21</v>
      </c>
      <c r="K441" s="1" t="s">
        <v>22</v>
      </c>
      <c r="L441" s="1">
        <v>6094.16</v>
      </c>
      <c r="M441" s="1">
        <v>5</v>
      </c>
      <c r="N441" s="1">
        <v>0.2</v>
      </c>
      <c r="O441" s="1">
        <v>24376.639999999999</v>
      </c>
      <c r="P441" s="1">
        <v>6702.83</v>
      </c>
    </row>
    <row r="442" spans="1:16" x14ac:dyDescent="0.3">
      <c r="A442" s="1" t="s">
        <v>127</v>
      </c>
      <c r="B442" s="2">
        <v>45986</v>
      </c>
      <c r="C442" s="2" t="str">
        <f>TEXT(E_Commerce_data[[#This Row],[order_date]],"MMM")</f>
        <v>Nov</v>
      </c>
      <c r="D442" s="1" t="s">
        <v>88</v>
      </c>
      <c r="E442" s="1" t="s">
        <v>89</v>
      </c>
      <c r="F442" s="1" t="s">
        <v>18</v>
      </c>
      <c r="G442" s="1" t="s">
        <v>19</v>
      </c>
      <c r="H442" s="2">
        <v>45083</v>
      </c>
      <c r="I442" s="1" t="s">
        <v>20</v>
      </c>
      <c r="J442" s="1" t="s">
        <v>21</v>
      </c>
      <c r="K442" s="1" t="s">
        <v>22</v>
      </c>
      <c r="L442" s="1">
        <v>6094.16</v>
      </c>
      <c r="M442" s="1">
        <v>1</v>
      </c>
      <c r="N442" s="1">
        <v>0</v>
      </c>
      <c r="O442" s="1">
        <v>6094.16</v>
      </c>
      <c r="P442" s="1">
        <v>1856.29</v>
      </c>
    </row>
    <row r="443" spans="1:16" x14ac:dyDescent="0.3">
      <c r="A443" s="1" t="s">
        <v>591</v>
      </c>
      <c r="B443" s="2">
        <v>45533</v>
      </c>
      <c r="C443" s="2" t="str">
        <f>TEXT(E_Commerce_data[[#This Row],[order_date]],"MMM")</f>
        <v>Aug</v>
      </c>
      <c r="D443" s="1" t="s">
        <v>41</v>
      </c>
      <c r="E443" s="1" t="s">
        <v>42</v>
      </c>
      <c r="F443" s="1" t="s">
        <v>43</v>
      </c>
      <c r="G443" s="1" t="s">
        <v>32</v>
      </c>
      <c r="H443" s="2">
        <v>45020</v>
      </c>
      <c r="I443" s="1" t="s">
        <v>558</v>
      </c>
      <c r="J443" s="1" t="s">
        <v>559</v>
      </c>
      <c r="K443" s="1" t="s">
        <v>560</v>
      </c>
      <c r="L443" s="1">
        <v>11049.86</v>
      </c>
      <c r="M443" s="1">
        <v>4</v>
      </c>
      <c r="N443" s="1">
        <v>0</v>
      </c>
      <c r="O443" s="1">
        <v>44199.44</v>
      </c>
      <c r="P443" s="1">
        <v>3883.76</v>
      </c>
    </row>
    <row r="444" spans="1:16" x14ac:dyDescent="0.3">
      <c r="A444" s="1" t="s">
        <v>664</v>
      </c>
      <c r="B444" s="2">
        <v>45872</v>
      </c>
      <c r="C444" s="2" t="str">
        <f>TEXT(E_Commerce_data[[#This Row],[order_date]],"MMM")</f>
        <v>Aug</v>
      </c>
      <c r="D444" s="1" t="s">
        <v>335</v>
      </c>
      <c r="E444" s="1" t="s">
        <v>336</v>
      </c>
      <c r="F444" s="1" t="s">
        <v>43</v>
      </c>
      <c r="G444" s="1" t="s">
        <v>32</v>
      </c>
      <c r="H444" s="2">
        <v>45315</v>
      </c>
      <c r="I444" s="1" t="s">
        <v>633</v>
      </c>
      <c r="J444" s="1" t="s">
        <v>634</v>
      </c>
      <c r="K444" s="1" t="s">
        <v>560</v>
      </c>
      <c r="L444" s="1">
        <v>3596.1</v>
      </c>
      <c r="M444" s="1">
        <v>3</v>
      </c>
      <c r="N444" s="1">
        <v>0</v>
      </c>
      <c r="O444" s="1">
        <v>10788.3</v>
      </c>
      <c r="P444" s="1">
        <v>1778.52</v>
      </c>
    </row>
    <row r="445" spans="1:16" x14ac:dyDescent="0.3">
      <c r="A445" s="1" t="s">
        <v>275</v>
      </c>
      <c r="B445" s="2">
        <v>45752</v>
      </c>
      <c r="C445" s="2" t="str">
        <f>TEXT(E_Commerce_data[[#This Row],[order_date]],"MMM")</f>
        <v>Apr</v>
      </c>
      <c r="D445" s="1" t="s">
        <v>121</v>
      </c>
      <c r="E445" s="1" t="s">
        <v>122</v>
      </c>
      <c r="F445" s="1" t="s">
        <v>26</v>
      </c>
      <c r="G445" s="1" t="s">
        <v>27</v>
      </c>
      <c r="H445" s="2">
        <v>44994</v>
      </c>
      <c r="I445" s="1" t="s">
        <v>215</v>
      </c>
      <c r="J445" s="1" t="s">
        <v>216</v>
      </c>
      <c r="K445" s="1" t="s">
        <v>22</v>
      </c>
      <c r="L445" s="1">
        <v>11273.63</v>
      </c>
      <c r="M445" s="1">
        <v>1</v>
      </c>
      <c r="N445" s="1">
        <v>0.1</v>
      </c>
      <c r="O445" s="1">
        <v>10146.27</v>
      </c>
      <c r="P445" s="1">
        <v>974.36</v>
      </c>
    </row>
    <row r="446" spans="1:16" x14ac:dyDescent="0.3">
      <c r="A446" s="1" t="s">
        <v>1202</v>
      </c>
      <c r="B446" s="2">
        <v>45370</v>
      </c>
      <c r="C446" s="2" t="str">
        <f>TEXT(E_Commerce_data[[#This Row],[order_date]],"MMM")</f>
        <v>Mar</v>
      </c>
      <c r="D446" s="1" t="s">
        <v>392</v>
      </c>
      <c r="E446" s="1" t="s">
        <v>393</v>
      </c>
      <c r="F446" s="1" t="s">
        <v>76</v>
      </c>
      <c r="G446" s="1" t="s">
        <v>32</v>
      </c>
      <c r="H446" s="2">
        <v>45197</v>
      </c>
      <c r="I446" s="1" t="s">
        <v>1162</v>
      </c>
      <c r="J446" s="1" t="s">
        <v>1163</v>
      </c>
      <c r="K446" s="1" t="s">
        <v>902</v>
      </c>
      <c r="L446" s="1">
        <v>10751.13</v>
      </c>
      <c r="M446" s="1">
        <v>3</v>
      </c>
      <c r="N446" s="1">
        <v>0</v>
      </c>
      <c r="O446" s="1">
        <v>32253.39</v>
      </c>
      <c r="P446" s="1">
        <v>5908.23</v>
      </c>
    </row>
    <row r="447" spans="1:16" x14ac:dyDescent="0.3">
      <c r="A447" s="1" t="s">
        <v>1000</v>
      </c>
      <c r="B447" s="2">
        <v>45699</v>
      </c>
      <c r="C447" s="2" t="str">
        <f>TEXT(E_Commerce_data[[#This Row],[order_date]],"MMM")</f>
        <v>Feb</v>
      </c>
      <c r="D447" s="1" t="s">
        <v>192</v>
      </c>
      <c r="E447" s="1" t="s">
        <v>193</v>
      </c>
      <c r="F447" s="1" t="s">
        <v>55</v>
      </c>
      <c r="G447" s="1" t="s">
        <v>27</v>
      </c>
      <c r="H447" s="2">
        <v>45448</v>
      </c>
      <c r="I447" s="1" t="s">
        <v>964</v>
      </c>
      <c r="J447" s="1" t="s">
        <v>965</v>
      </c>
      <c r="K447" s="1" t="s">
        <v>902</v>
      </c>
      <c r="L447" s="1">
        <v>3589.32</v>
      </c>
      <c r="M447" s="1">
        <v>5</v>
      </c>
      <c r="N447" s="1">
        <v>0</v>
      </c>
      <c r="O447" s="1">
        <v>17946.599999999999</v>
      </c>
      <c r="P447" s="1">
        <v>3747.93</v>
      </c>
    </row>
    <row r="448" spans="1:16" x14ac:dyDescent="0.3">
      <c r="A448" s="1" t="s">
        <v>1061</v>
      </c>
      <c r="B448" s="2">
        <v>45408</v>
      </c>
      <c r="C448" s="2" t="str">
        <f>TEXT(E_Commerce_data[[#This Row],[order_date]],"MMM")</f>
        <v>Apr</v>
      </c>
      <c r="D448" s="1" t="s">
        <v>186</v>
      </c>
      <c r="E448" s="1" t="s">
        <v>187</v>
      </c>
      <c r="F448" s="1" t="s">
        <v>26</v>
      </c>
      <c r="G448" s="1" t="s">
        <v>27</v>
      </c>
      <c r="H448" s="2">
        <v>45493</v>
      </c>
      <c r="I448" s="1" t="s">
        <v>1034</v>
      </c>
      <c r="J448" s="1" t="s">
        <v>1035</v>
      </c>
      <c r="K448" s="1" t="s">
        <v>902</v>
      </c>
      <c r="L448" s="1">
        <v>11938.33</v>
      </c>
      <c r="M448" s="1">
        <v>3</v>
      </c>
      <c r="N448" s="1">
        <v>0.15</v>
      </c>
      <c r="O448" s="1">
        <v>30442.74</v>
      </c>
      <c r="P448" s="1">
        <v>4067.36</v>
      </c>
    </row>
    <row r="449" spans="1:16" x14ac:dyDescent="0.3">
      <c r="A449" s="1" t="s">
        <v>592</v>
      </c>
      <c r="B449" s="2">
        <v>45822</v>
      </c>
      <c r="C449" s="2" t="str">
        <f>TEXT(E_Commerce_data[[#This Row],[order_date]],"MMM")</f>
        <v>Jun</v>
      </c>
      <c r="D449" s="1" t="s">
        <v>142</v>
      </c>
      <c r="E449" s="1" t="s">
        <v>143</v>
      </c>
      <c r="F449" s="1" t="s">
        <v>93</v>
      </c>
      <c r="G449" s="1" t="s">
        <v>27</v>
      </c>
      <c r="H449" s="2">
        <v>45109</v>
      </c>
      <c r="I449" s="1" t="s">
        <v>558</v>
      </c>
      <c r="J449" s="1" t="s">
        <v>559</v>
      </c>
      <c r="K449" s="1" t="s">
        <v>560</v>
      </c>
      <c r="L449" s="1">
        <v>11049.86</v>
      </c>
      <c r="M449" s="1">
        <v>1</v>
      </c>
      <c r="N449" s="1">
        <v>0.15</v>
      </c>
      <c r="O449" s="1">
        <v>9392.3799999999992</v>
      </c>
      <c r="P449" s="1">
        <v>993.85</v>
      </c>
    </row>
    <row r="450" spans="1:16" x14ac:dyDescent="0.3">
      <c r="A450" s="1" t="s">
        <v>924</v>
      </c>
      <c r="B450" s="2">
        <v>45558</v>
      </c>
      <c r="C450" s="2" t="str">
        <f>TEXT(E_Commerce_data[[#This Row],[order_date]],"MMM")</f>
        <v>Sep</v>
      </c>
      <c r="D450" s="1" t="s">
        <v>74</v>
      </c>
      <c r="E450" s="1" t="s">
        <v>75</v>
      </c>
      <c r="F450" s="1" t="s">
        <v>76</v>
      </c>
      <c r="G450" s="1" t="s">
        <v>32</v>
      </c>
      <c r="H450" s="2">
        <v>44954</v>
      </c>
      <c r="I450" s="1" t="s">
        <v>900</v>
      </c>
      <c r="J450" s="1" t="s">
        <v>901</v>
      </c>
      <c r="K450" s="1" t="s">
        <v>902</v>
      </c>
      <c r="L450" s="1">
        <v>42988.79</v>
      </c>
      <c r="M450" s="1">
        <v>4</v>
      </c>
      <c r="N450" s="1">
        <v>0.1</v>
      </c>
      <c r="O450" s="1">
        <v>154759.64000000001</v>
      </c>
      <c r="P450" s="1">
        <v>13205.38</v>
      </c>
    </row>
    <row r="451" spans="1:16" x14ac:dyDescent="0.3">
      <c r="A451" s="1" t="s">
        <v>1125</v>
      </c>
      <c r="B451" s="2">
        <v>45584</v>
      </c>
      <c r="C451" s="2" t="str">
        <f>TEXT(E_Commerce_data[[#This Row],[order_date]],"MMM")</f>
        <v>Oct</v>
      </c>
      <c r="D451" s="1" t="s">
        <v>453</v>
      </c>
      <c r="E451" s="1" t="s">
        <v>454</v>
      </c>
      <c r="F451" s="1" t="s">
        <v>31</v>
      </c>
      <c r="G451" s="1" t="s">
        <v>32</v>
      </c>
      <c r="H451" s="2">
        <v>45143</v>
      </c>
      <c r="I451" s="1" t="s">
        <v>1102</v>
      </c>
      <c r="J451" s="1" t="s">
        <v>1103</v>
      </c>
      <c r="K451" s="1" t="s">
        <v>902</v>
      </c>
      <c r="L451" s="1">
        <v>33465.440000000002</v>
      </c>
      <c r="M451" s="1">
        <v>4</v>
      </c>
      <c r="N451" s="1">
        <v>0</v>
      </c>
      <c r="O451" s="1">
        <v>133861.76000000001</v>
      </c>
      <c r="P451" s="1">
        <v>46705.64</v>
      </c>
    </row>
    <row r="452" spans="1:16" x14ac:dyDescent="0.3">
      <c r="A452" s="1" t="s">
        <v>863</v>
      </c>
      <c r="B452" s="2">
        <v>45367</v>
      </c>
      <c r="C452" s="2" t="str">
        <f>TEXT(E_Commerce_data[[#This Row],[order_date]],"MMM")</f>
        <v>Mar</v>
      </c>
      <c r="D452" s="1" t="s">
        <v>199</v>
      </c>
      <c r="E452" s="1" t="s">
        <v>200</v>
      </c>
      <c r="F452" s="1" t="s">
        <v>36</v>
      </c>
      <c r="G452" s="1" t="s">
        <v>32</v>
      </c>
      <c r="H452" s="2">
        <v>45196</v>
      </c>
      <c r="I452" s="1" t="s">
        <v>822</v>
      </c>
      <c r="J452" s="1" t="s">
        <v>823</v>
      </c>
      <c r="K452" s="1" t="s">
        <v>560</v>
      </c>
      <c r="L452" s="1">
        <v>45275.73</v>
      </c>
      <c r="M452" s="1">
        <v>4</v>
      </c>
      <c r="N452" s="1">
        <v>0</v>
      </c>
      <c r="O452" s="1">
        <v>181102.92</v>
      </c>
      <c r="P452" s="1">
        <v>15718.14</v>
      </c>
    </row>
    <row r="453" spans="1:16" x14ac:dyDescent="0.3">
      <c r="A453" s="1" t="s">
        <v>925</v>
      </c>
      <c r="B453" s="2">
        <v>45747</v>
      </c>
      <c r="C453" s="2" t="str">
        <f>TEXT(E_Commerce_data[[#This Row],[order_date]],"MMM")</f>
        <v>Mar</v>
      </c>
      <c r="D453" s="1" t="s">
        <v>269</v>
      </c>
      <c r="E453" s="1" t="s">
        <v>270</v>
      </c>
      <c r="F453" s="1" t="s">
        <v>18</v>
      </c>
      <c r="G453" s="1" t="s">
        <v>19</v>
      </c>
      <c r="H453" s="2">
        <v>45271</v>
      </c>
      <c r="I453" s="1" t="s">
        <v>900</v>
      </c>
      <c r="J453" s="1" t="s">
        <v>901</v>
      </c>
      <c r="K453" s="1" t="s">
        <v>902</v>
      </c>
      <c r="L453" s="1">
        <v>42988.79</v>
      </c>
      <c r="M453" s="1">
        <v>4</v>
      </c>
      <c r="N453" s="1">
        <v>0</v>
      </c>
      <c r="O453" s="1">
        <v>171955.16</v>
      </c>
      <c r="P453" s="1">
        <v>54957.51</v>
      </c>
    </row>
    <row r="454" spans="1:16" x14ac:dyDescent="0.3">
      <c r="A454" s="1" t="s">
        <v>373</v>
      </c>
      <c r="B454" s="2">
        <v>45619</v>
      </c>
      <c r="C454" s="2" t="str">
        <f>TEXT(E_Commerce_data[[#This Row],[order_date]],"MMM")</f>
        <v>Nov</v>
      </c>
      <c r="D454" s="1" t="s">
        <v>115</v>
      </c>
      <c r="E454" s="1" t="s">
        <v>116</v>
      </c>
      <c r="F454" s="1" t="s">
        <v>93</v>
      </c>
      <c r="G454" s="1" t="s">
        <v>27</v>
      </c>
      <c r="H454" s="2">
        <v>45196</v>
      </c>
      <c r="I454" s="1" t="s">
        <v>315</v>
      </c>
      <c r="J454" s="1" t="s">
        <v>316</v>
      </c>
      <c r="K454" s="1" t="s">
        <v>22</v>
      </c>
      <c r="L454" s="1">
        <v>16937.37</v>
      </c>
      <c r="M454" s="1">
        <v>1</v>
      </c>
      <c r="N454" s="1">
        <v>0.2</v>
      </c>
      <c r="O454" s="1">
        <v>13549.9</v>
      </c>
      <c r="P454" s="1">
        <v>3449.52</v>
      </c>
    </row>
    <row r="455" spans="1:16" x14ac:dyDescent="0.3">
      <c r="A455" s="1" t="s">
        <v>1062</v>
      </c>
      <c r="B455" s="2">
        <v>45847</v>
      </c>
      <c r="C455" s="2" t="str">
        <f>TEXT(E_Commerce_data[[#This Row],[order_date]],"MMM")</f>
        <v>Jul</v>
      </c>
      <c r="D455" s="1" t="s">
        <v>335</v>
      </c>
      <c r="E455" s="1" t="s">
        <v>336</v>
      </c>
      <c r="F455" s="1" t="s">
        <v>43</v>
      </c>
      <c r="G455" s="1" t="s">
        <v>32</v>
      </c>
      <c r="H455" s="2">
        <v>45315</v>
      </c>
      <c r="I455" s="1" t="s">
        <v>1034</v>
      </c>
      <c r="J455" s="1" t="s">
        <v>1035</v>
      </c>
      <c r="K455" s="1" t="s">
        <v>902</v>
      </c>
      <c r="L455" s="1">
        <v>11938.33</v>
      </c>
      <c r="M455" s="1">
        <v>3</v>
      </c>
      <c r="N455" s="1">
        <v>0.15</v>
      </c>
      <c r="O455" s="1">
        <v>30442.74</v>
      </c>
      <c r="P455" s="1">
        <v>2115.21</v>
      </c>
    </row>
    <row r="456" spans="1:16" x14ac:dyDescent="0.3">
      <c r="A456" s="1" t="s">
        <v>1203</v>
      </c>
      <c r="B456" s="2">
        <v>46020</v>
      </c>
      <c r="C456" s="2" t="str">
        <f>TEXT(E_Commerce_data[[#This Row],[order_date]],"MMM")</f>
        <v>Dec</v>
      </c>
      <c r="D456" s="1" t="s">
        <v>63</v>
      </c>
      <c r="E456" s="1" t="s">
        <v>64</v>
      </c>
      <c r="F456" s="1" t="s">
        <v>18</v>
      </c>
      <c r="G456" s="1" t="s">
        <v>19</v>
      </c>
      <c r="H456" s="2">
        <v>45501</v>
      </c>
      <c r="I456" s="1" t="s">
        <v>1162</v>
      </c>
      <c r="J456" s="1" t="s">
        <v>1163</v>
      </c>
      <c r="K456" s="1" t="s">
        <v>902</v>
      </c>
      <c r="L456" s="1">
        <v>10751.13</v>
      </c>
      <c r="M456" s="1">
        <v>3</v>
      </c>
      <c r="N456" s="1">
        <v>0</v>
      </c>
      <c r="O456" s="1">
        <v>32253.39</v>
      </c>
      <c r="P456" s="1">
        <v>9850.4599999999991</v>
      </c>
    </row>
    <row r="457" spans="1:16" x14ac:dyDescent="0.3">
      <c r="A457" s="1" t="s">
        <v>728</v>
      </c>
      <c r="B457" s="2">
        <v>45521</v>
      </c>
      <c r="C457" s="2" t="str">
        <f>TEXT(E_Commerce_data[[#This Row],[order_date]],"MMM")</f>
        <v>Aug</v>
      </c>
      <c r="D457" s="1" t="s">
        <v>514</v>
      </c>
      <c r="E457" s="1" t="s">
        <v>515</v>
      </c>
      <c r="F457" s="1" t="s">
        <v>18</v>
      </c>
      <c r="G457" s="1" t="s">
        <v>19</v>
      </c>
      <c r="H457" s="2">
        <v>45386</v>
      </c>
      <c r="I457" s="1" t="s">
        <v>706</v>
      </c>
      <c r="J457" s="1" t="s">
        <v>707</v>
      </c>
      <c r="K457" s="1" t="s">
        <v>560</v>
      </c>
      <c r="L457" s="1">
        <v>31573.59</v>
      </c>
      <c r="M457" s="1">
        <v>2</v>
      </c>
      <c r="N457" s="1">
        <v>0.2</v>
      </c>
      <c r="O457" s="1">
        <v>50517.74</v>
      </c>
      <c r="P457" s="1">
        <v>8004.42</v>
      </c>
    </row>
    <row r="458" spans="1:16" x14ac:dyDescent="0.3">
      <c r="A458" s="1" t="s">
        <v>926</v>
      </c>
      <c r="B458" s="2">
        <v>45534</v>
      </c>
      <c r="C458" s="2" t="str">
        <f>TEXT(E_Commerce_data[[#This Row],[order_date]],"MMM")</f>
        <v>Aug</v>
      </c>
      <c r="D458" s="1" t="s">
        <v>171</v>
      </c>
      <c r="E458" s="1" t="s">
        <v>172</v>
      </c>
      <c r="F458" s="1" t="s">
        <v>47</v>
      </c>
      <c r="G458" s="1" t="s">
        <v>48</v>
      </c>
      <c r="H458" s="2">
        <v>45093</v>
      </c>
      <c r="I458" s="1" t="s">
        <v>900</v>
      </c>
      <c r="J458" s="1" t="s">
        <v>901</v>
      </c>
      <c r="K458" s="1" t="s">
        <v>902</v>
      </c>
      <c r="L458" s="1">
        <v>42988.79</v>
      </c>
      <c r="M458" s="1">
        <v>1</v>
      </c>
      <c r="N458" s="1">
        <v>0</v>
      </c>
      <c r="O458" s="1">
        <v>42988.79</v>
      </c>
      <c r="P458" s="1">
        <v>12364.42</v>
      </c>
    </row>
    <row r="459" spans="1:16" x14ac:dyDescent="0.3">
      <c r="A459" s="1" t="s">
        <v>794</v>
      </c>
      <c r="B459" s="2">
        <v>45878</v>
      </c>
      <c r="C459" s="2" t="str">
        <f>TEXT(E_Commerce_data[[#This Row],[order_date]],"MMM")</f>
        <v>Aug</v>
      </c>
      <c r="D459" s="1" t="s">
        <v>60</v>
      </c>
      <c r="E459" s="1" t="s">
        <v>61</v>
      </c>
      <c r="F459" s="1" t="s">
        <v>18</v>
      </c>
      <c r="G459" s="1" t="s">
        <v>19</v>
      </c>
      <c r="H459" s="2">
        <v>45507</v>
      </c>
      <c r="I459" s="1" t="s">
        <v>763</v>
      </c>
      <c r="J459" s="1" t="s">
        <v>764</v>
      </c>
      <c r="K459" s="1" t="s">
        <v>560</v>
      </c>
      <c r="L459" s="1">
        <v>11485.64</v>
      </c>
      <c r="M459" s="1">
        <v>4</v>
      </c>
      <c r="N459" s="1">
        <v>0</v>
      </c>
      <c r="O459" s="1">
        <v>45942.559999999998</v>
      </c>
      <c r="P459" s="1">
        <v>7271.28</v>
      </c>
    </row>
    <row r="460" spans="1:16" x14ac:dyDescent="0.3">
      <c r="A460" s="1" t="s">
        <v>128</v>
      </c>
      <c r="B460" s="2">
        <v>45856</v>
      </c>
      <c r="C460" s="2" t="str">
        <f>TEXT(E_Commerce_data[[#This Row],[order_date]],"MMM")</f>
        <v>Jul</v>
      </c>
      <c r="D460" s="1" t="s">
        <v>129</v>
      </c>
      <c r="E460" s="1" t="s">
        <v>130</v>
      </c>
      <c r="F460" s="1" t="s">
        <v>72</v>
      </c>
      <c r="G460" s="1" t="s">
        <v>48</v>
      </c>
      <c r="H460" s="2">
        <v>45021</v>
      </c>
      <c r="I460" s="1" t="s">
        <v>20</v>
      </c>
      <c r="J460" s="1" t="s">
        <v>21</v>
      </c>
      <c r="K460" s="1" t="s">
        <v>22</v>
      </c>
      <c r="L460" s="1">
        <v>6094.16</v>
      </c>
      <c r="M460" s="1">
        <v>3</v>
      </c>
      <c r="N460" s="1">
        <v>0.05</v>
      </c>
      <c r="O460" s="1">
        <v>17368.36</v>
      </c>
      <c r="P460" s="1">
        <v>5055.8999999999996</v>
      </c>
    </row>
    <row r="461" spans="1:16" x14ac:dyDescent="0.3">
      <c r="A461" s="1" t="s">
        <v>131</v>
      </c>
      <c r="B461" s="2">
        <v>45359</v>
      </c>
      <c r="C461" s="2" t="str">
        <f>TEXT(E_Commerce_data[[#This Row],[order_date]],"MMM")</f>
        <v>Mar</v>
      </c>
      <c r="D461" s="1" t="s">
        <v>132</v>
      </c>
      <c r="E461" s="1" t="s">
        <v>133</v>
      </c>
      <c r="F461" s="1" t="s">
        <v>76</v>
      </c>
      <c r="G461" s="1" t="s">
        <v>32</v>
      </c>
      <c r="H461" s="2">
        <v>45359</v>
      </c>
      <c r="I461" s="1" t="s">
        <v>20</v>
      </c>
      <c r="J461" s="1" t="s">
        <v>21</v>
      </c>
      <c r="K461" s="1" t="s">
        <v>22</v>
      </c>
      <c r="L461" s="1">
        <v>6094.16</v>
      </c>
      <c r="M461" s="1">
        <v>2</v>
      </c>
      <c r="N461" s="1">
        <v>0.1</v>
      </c>
      <c r="O461" s="1">
        <v>10969.49</v>
      </c>
      <c r="P461" s="1">
        <v>3458.39</v>
      </c>
    </row>
    <row r="462" spans="1:16" x14ac:dyDescent="0.3">
      <c r="A462" s="1" t="s">
        <v>1204</v>
      </c>
      <c r="B462" s="2">
        <v>45782</v>
      </c>
      <c r="C462" s="2" t="str">
        <f>TEXT(E_Commerce_data[[#This Row],[order_date]],"MMM")</f>
        <v>May</v>
      </c>
      <c r="D462" s="1" t="s">
        <v>109</v>
      </c>
      <c r="E462" s="1" t="s">
        <v>110</v>
      </c>
      <c r="F462" s="1" t="s">
        <v>31</v>
      </c>
      <c r="G462" s="1" t="s">
        <v>32</v>
      </c>
      <c r="H462" s="2">
        <v>45026</v>
      </c>
      <c r="I462" s="1" t="s">
        <v>1162</v>
      </c>
      <c r="J462" s="1" t="s">
        <v>1163</v>
      </c>
      <c r="K462" s="1" t="s">
        <v>902</v>
      </c>
      <c r="L462" s="1">
        <v>10751.13</v>
      </c>
      <c r="M462" s="1">
        <v>3</v>
      </c>
      <c r="N462" s="1">
        <v>0.05</v>
      </c>
      <c r="O462" s="1">
        <v>30640.720000000001</v>
      </c>
      <c r="P462" s="1">
        <v>10720.53</v>
      </c>
    </row>
    <row r="463" spans="1:16" x14ac:dyDescent="0.3">
      <c r="A463" s="1" t="s">
        <v>1126</v>
      </c>
      <c r="B463" s="2">
        <v>45880</v>
      </c>
      <c r="C463" s="2" t="str">
        <f>TEXT(E_Commerce_data[[#This Row],[order_date]],"MMM")</f>
        <v>Aug</v>
      </c>
      <c r="D463" s="1" t="s">
        <v>189</v>
      </c>
      <c r="E463" s="1" t="s">
        <v>190</v>
      </c>
      <c r="F463" s="1" t="s">
        <v>26</v>
      </c>
      <c r="G463" s="1" t="s">
        <v>27</v>
      </c>
      <c r="H463" s="2">
        <v>45645</v>
      </c>
      <c r="I463" s="1" t="s">
        <v>1102</v>
      </c>
      <c r="J463" s="1" t="s">
        <v>1103</v>
      </c>
      <c r="K463" s="1" t="s">
        <v>902</v>
      </c>
      <c r="L463" s="1">
        <v>33465.440000000002</v>
      </c>
      <c r="M463" s="1">
        <v>5</v>
      </c>
      <c r="N463" s="1">
        <v>0.05</v>
      </c>
      <c r="O463" s="1">
        <v>158960.84</v>
      </c>
      <c r="P463" s="1">
        <v>44628.15</v>
      </c>
    </row>
    <row r="464" spans="1:16" x14ac:dyDescent="0.3">
      <c r="A464" s="1" t="s">
        <v>1205</v>
      </c>
      <c r="B464" s="2">
        <v>45949</v>
      </c>
      <c r="C464" s="2" t="str">
        <f>TEXT(E_Commerce_data[[#This Row],[order_date]],"MMM")</f>
        <v>Oct</v>
      </c>
      <c r="D464" s="1" t="s">
        <v>192</v>
      </c>
      <c r="E464" s="1" t="s">
        <v>193</v>
      </c>
      <c r="F464" s="1" t="s">
        <v>55</v>
      </c>
      <c r="G464" s="1" t="s">
        <v>27</v>
      </c>
      <c r="H464" s="2">
        <v>45448</v>
      </c>
      <c r="I464" s="1" t="s">
        <v>1162</v>
      </c>
      <c r="J464" s="1" t="s">
        <v>1163</v>
      </c>
      <c r="K464" s="1" t="s">
        <v>902</v>
      </c>
      <c r="L464" s="1">
        <v>10751.13</v>
      </c>
      <c r="M464" s="1">
        <v>1</v>
      </c>
      <c r="N464" s="1">
        <v>0</v>
      </c>
      <c r="O464" s="1">
        <v>10751.13</v>
      </c>
      <c r="P464" s="1">
        <v>3673.81</v>
      </c>
    </row>
    <row r="465" spans="1:16" x14ac:dyDescent="0.3">
      <c r="A465" s="1" t="s">
        <v>1001</v>
      </c>
      <c r="B465" s="2">
        <v>45821</v>
      </c>
      <c r="C465" s="2" t="str">
        <f>TEXT(E_Commerce_data[[#This Row],[order_date]],"MMM")</f>
        <v>Jun</v>
      </c>
      <c r="D465" s="1" t="s">
        <v>139</v>
      </c>
      <c r="E465" s="1" t="s">
        <v>140</v>
      </c>
      <c r="F465" s="1" t="s">
        <v>47</v>
      </c>
      <c r="G465" s="1" t="s">
        <v>48</v>
      </c>
      <c r="H465" s="2">
        <v>44984</v>
      </c>
      <c r="I465" s="1" t="s">
        <v>964</v>
      </c>
      <c r="J465" s="1" t="s">
        <v>965</v>
      </c>
      <c r="K465" s="1" t="s">
        <v>902</v>
      </c>
      <c r="L465" s="1">
        <v>3589.32</v>
      </c>
      <c r="M465" s="1">
        <v>1</v>
      </c>
      <c r="N465" s="1">
        <v>0.05</v>
      </c>
      <c r="O465" s="1">
        <v>3409.85</v>
      </c>
      <c r="P465" s="1">
        <v>647.02</v>
      </c>
    </row>
    <row r="466" spans="1:16" x14ac:dyDescent="0.3">
      <c r="A466" s="1" t="s">
        <v>864</v>
      </c>
      <c r="B466" s="2">
        <v>45856</v>
      </c>
      <c r="C466" s="2" t="str">
        <f>TEXT(E_Commerce_data[[#This Row],[order_date]],"MMM")</f>
        <v>Jul</v>
      </c>
      <c r="D466" s="1" t="s">
        <v>387</v>
      </c>
      <c r="E466" s="1" t="s">
        <v>388</v>
      </c>
      <c r="F466" s="1" t="s">
        <v>26</v>
      </c>
      <c r="G466" s="1" t="s">
        <v>27</v>
      </c>
      <c r="H466" s="2">
        <v>45335</v>
      </c>
      <c r="I466" s="1" t="s">
        <v>822</v>
      </c>
      <c r="J466" s="1" t="s">
        <v>823</v>
      </c>
      <c r="K466" s="1" t="s">
        <v>560</v>
      </c>
      <c r="L466" s="1">
        <v>45275.73</v>
      </c>
      <c r="M466" s="1">
        <v>3</v>
      </c>
      <c r="N466" s="1">
        <v>0</v>
      </c>
      <c r="O466" s="1">
        <v>135827.19</v>
      </c>
      <c r="P466" s="1">
        <v>42566.62</v>
      </c>
    </row>
    <row r="467" spans="1:16" x14ac:dyDescent="0.3">
      <c r="A467" s="1" t="s">
        <v>1002</v>
      </c>
      <c r="B467" s="2">
        <v>45424</v>
      </c>
      <c r="C467" s="2" t="str">
        <f>TEXT(E_Commerce_data[[#This Row],[order_date]],"MMM")</f>
        <v>May</v>
      </c>
      <c r="D467" s="1" t="s">
        <v>82</v>
      </c>
      <c r="E467" s="1" t="s">
        <v>83</v>
      </c>
      <c r="F467" s="1" t="s">
        <v>47</v>
      </c>
      <c r="G467" s="1" t="s">
        <v>48</v>
      </c>
      <c r="H467" s="2">
        <v>45279</v>
      </c>
      <c r="I467" s="1" t="s">
        <v>964</v>
      </c>
      <c r="J467" s="1" t="s">
        <v>965</v>
      </c>
      <c r="K467" s="1" t="s">
        <v>902</v>
      </c>
      <c r="L467" s="1">
        <v>3589.32</v>
      </c>
      <c r="M467" s="1">
        <v>5</v>
      </c>
      <c r="N467" s="1">
        <v>0</v>
      </c>
      <c r="O467" s="1">
        <v>17946.599999999999</v>
      </c>
      <c r="P467" s="1">
        <v>5031.05</v>
      </c>
    </row>
    <row r="468" spans="1:16" x14ac:dyDescent="0.3">
      <c r="A468" s="1" t="s">
        <v>276</v>
      </c>
      <c r="B468" s="2">
        <v>45348</v>
      </c>
      <c r="C468" s="2" t="str">
        <f>TEXT(E_Commerce_data[[#This Row],[order_date]],"MMM")</f>
        <v>Feb</v>
      </c>
      <c r="D468" s="1" t="s">
        <v>277</v>
      </c>
      <c r="E468" s="1" t="s">
        <v>278</v>
      </c>
      <c r="F468" s="1" t="s">
        <v>43</v>
      </c>
      <c r="G468" s="1" t="s">
        <v>32</v>
      </c>
      <c r="H468" s="2">
        <v>44997</v>
      </c>
      <c r="I468" s="1" t="s">
        <v>215</v>
      </c>
      <c r="J468" s="1" t="s">
        <v>216</v>
      </c>
      <c r="K468" s="1" t="s">
        <v>22</v>
      </c>
      <c r="L468" s="1">
        <v>11273.63</v>
      </c>
      <c r="M468" s="1">
        <v>4</v>
      </c>
      <c r="N468" s="1">
        <v>0.1</v>
      </c>
      <c r="O468" s="1">
        <v>40585.07</v>
      </c>
      <c r="P468" s="1">
        <v>13117.65</v>
      </c>
    </row>
    <row r="469" spans="1:16" x14ac:dyDescent="0.3">
      <c r="A469" s="1" t="s">
        <v>526</v>
      </c>
      <c r="B469" s="2">
        <v>45460</v>
      </c>
      <c r="C469" s="2" t="str">
        <f>TEXT(E_Commerce_data[[#This Row],[order_date]],"MMM")</f>
        <v>Jun</v>
      </c>
      <c r="D469" s="1" t="s">
        <v>24</v>
      </c>
      <c r="E469" s="1" t="s">
        <v>25</v>
      </c>
      <c r="F469" s="1" t="s">
        <v>26</v>
      </c>
      <c r="G469" s="1" t="s">
        <v>27</v>
      </c>
      <c r="H469" s="2">
        <v>45069</v>
      </c>
      <c r="I469" s="1" t="s">
        <v>489</v>
      </c>
      <c r="J469" s="1" t="s">
        <v>490</v>
      </c>
      <c r="K469" s="1" t="s">
        <v>22</v>
      </c>
      <c r="L469" s="1">
        <v>11544.23</v>
      </c>
      <c r="M469" s="1">
        <v>1</v>
      </c>
      <c r="N469" s="1">
        <v>0.1</v>
      </c>
      <c r="O469" s="1">
        <v>10389.81</v>
      </c>
      <c r="P469" s="1">
        <v>996.43</v>
      </c>
    </row>
    <row r="470" spans="1:16" x14ac:dyDescent="0.3">
      <c r="A470" s="1" t="s">
        <v>1063</v>
      </c>
      <c r="B470" s="2">
        <v>45522</v>
      </c>
      <c r="C470" s="2" t="str">
        <f>TEXT(E_Commerce_data[[#This Row],[order_date]],"MMM")</f>
        <v>Aug</v>
      </c>
      <c r="D470" s="1" t="s">
        <v>115</v>
      </c>
      <c r="E470" s="1" t="s">
        <v>116</v>
      </c>
      <c r="F470" s="1" t="s">
        <v>93</v>
      </c>
      <c r="G470" s="1" t="s">
        <v>27</v>
      </c>
      <c r="H470" s="2">
        <v>45196</v>
      </c>
      <c r="I470" s="1" t="s">
        <v>1034</v>
      </c>
      <c r="J470" s="1" t="s">
        <v>1035</v>
      </c>
      <c r="K470" s="1" t="s">
        <v>902</v>
      </c>
      <c r="L470" s="1">
        <v>11938.33</v>
      </c>
      <c r="M470" s="1">
        <v>2</v>
      </c>
      <c r="N470" s="1">
        <v>0</v>
      </c>
      <c r="O470" s="1">
        <v>23876.66</v>
      </c>
      <c r="P470" s="1">
        <v>7889.36</v>
      </c>
    </row>
    <row r="471" spans="1:16" x14ac:dyDescent="0.3">
      <c r="A471" s="1" t="s">
        <v>446</v>
      </c>
      <c r="B471" s="2">
        <v>45372</v>
      </c>
      <c r="C471" s="2" t="str">
        <f>TEXT(E_Commerce_data[[#This Row],[order_date]],"MMM")</f>
        <v>Mar</v>
      </c>
      <c r="D471" s="1" t="s">
        <v>53</v>
      </c>
      <c r="E471" s="1" t="s">
        <v>54</v>
      </c>
      <c r="F471" s="1" t="s">
        <v>55</v>
      </c>
      <c r="G471" s="1" t="s">
        <v>27</v>
      </c>
      <c r="H471" s="2">
        <v>45623</v>
      </c>
      <c r="I471" s="1" t="s">
        <v>420</v>
      </c>
      <c r="J471" s="1" t="s">
        <v>421</v>
      </c>
      <c r="K471" s="1" t="s">
        <v>22</v>
      </c>
      <c r="L471" s="1">
        <v>29436.02</v>
      </c>
      <c r="M471" s="1">
        <v>3</v>
      </c>
      <c r="N471" s="1">
        <v>0.1</v>
      </c>
      <c r="O471" s="1">
        <v>79477.25</v>
      </c>
      <c r="P471" s="1">
        <v>25311.74</v>
      </c>
    </row>
    <row r="472" spans="1:16" x14ac:dyDescent="0.3">
      <c r="A472" s="1" t="s">
        <v>527</v>
      </c>
      <c r="B472" s="2">
        <v>45856</v>
      </c>
      <c r="C472" s="2" t="str">
        <f>TEXT(E_Commerce_data[[#This Row],[order_date]],"MMM")</f>
        <v>Jul</v>
      </c>
      <c r="D472" s="1" t="s">
        <v>387</v>
      </c>
      <c r="E472" s="1" t="s">
        <v>388</v>
      </c>
      <c r="F472" s="1" t="s">
        <v>26</v>
      </c>
      <c r="G472" s="1" t="s">
        <v>27</v>
      </c>
      <c r="H472" s="2">
        <v>45335</v>
      </c>
      <c r="I472" s="1" t="s">
        <v>489</v>
      </c>
      <c r="J472" s="1" t="s">
        <v>490</v>
      </c>
      <c r="K472" s="1" t="s">
        <v>22</v>
      </c>
      <c r="L472" s="1">
        <v>11544.23</v>
      </c>
      <c r="M472" s="1">
        <v>3</v>
      </c>
      <c r="N472" s="1">
        <v>0</v>
      </c>
      <c r="O472" s="1">
        <v>34632.69</v>
      </c>
      <c r="P472" s="1">
        <v>8329.76</v>
      </c>
    </row>
    <row r="473" spans="1:16" x14ac:dyDescent="0.3">
      <c r="A473" s="1" t="s">
        <v>593</v>
      </c>
      <c r="B473" s="2">
        <v>45921</v>
      </c>
      <c r="C473" s="2" t="str">
        <f>TEXT(E_Commerce_data[[#This Row],[order_date]],"MMM")</f>
        <v>Sep</v>
      </c>
      <c r="D473" s="1" t="s">
        <v>192</v>
      </c>
      <c r="E473" s="1" t="s">
        <v>193</v>
      </c>
      <c r="F473" s="1" t="s">
        <v>55</v>
      </c>
      <c r="G473" s="1" t="s">
        <v>27</v>
      </c>
      <c r="H473" s="2">
        <v>45448</v>
      </c>
      <c r="I473" s="1" t="s">
        <v>558</v>
      </c>
      <c r="J473" s="1" t="s">
        <v>559</v>
      </c>
      <c r="K473" s="1" t="s">
        <v>560</v>
      </c>
      <c r="L473" s="1">
        <v>11049.86</v>
      </c>
      <c r="M473" s="1">
        <v>3</v>
      </c>
      <c r="N473" s="1">
        <v>0</v>
      </c>
      <c r="O473" s="1">
        <v>33149.58</v>
      </c>
      <c r="P473" s="1">
        <v>7873.25</v>
      </c>
    </row>
    <row r="474" spans="1:16" x14ac:dyDescent="0.3">
      <c r="A474" s="1" t="s">
        <v>528</v>
      </c>
      <c r="B474" s="2">
        <v>45464</v>
      </c>
      <c r="C474" s="2" t="str">
        <f>TEXT(E_Commerce_data[[#This Row],[order_date]],"MMM")</f>
        <v>Jun</v>
      </c>
      <c r="D474" s="1" t="s">
        <v>230</v>
      </c>
      <c r="E474" s="1" t="s">
        <v>231</v>
      </c>
      <c r="F474" s="1" t="s">
        <v>72</v>
      </c>
      <c r="G474" s="1" t="s">
        <v>48</v>
      </c>
      <c r="H474" s="2">
        <v>45550</v>
      </c>
      <c r="I474" s="1" t="s">
        <v>489</v>
      </c>
      <c r="J474" s="1" t="s">
        <v>490</v>
      </c>
      <c r="K474" s="1" t="s">
        <v>22</v>
      </c>
      <c r="L474" s="1">
        <v>11544.23</v>
      </c>
      <c r="M474" s="1">
        <v>5</v>
      </c>
      <c r="N474" s="1">
        <v>0</v>
      </c>
      <c r="O474" s="1">
        <v>57721.15</v>
      </c>
      <c r="P474" s="1">
        <v>11588.79</v>
      </c>
    </row>
    <row r="475" spans="1:16" x14ac:dyDescent="0.3">
      <c r="A475" s="1" t="s">
        <v>1127</v>
      </c>
      <c r="B475" s="2">
        <v>45966</v>
      </c>
      <c r="C475" s="2" t="str">
        <f>TEXT(E_Commerce_data[[#This Row],[order_date]],"MMM")</f>
        <v>Nov</v>
      </c>
      <c r="D475" s="1" t="s">
        <v>16</v>
      </c>
      <c r="E475" s="1" t="s">
        <v>17</v>
      </c>
      <c r="F475" s="1" t="s">
        <v>18</v>
      </c>
      <c r="G475" s="1" t="s">
        <v>19</v>
      </c>
      <c r="H475" s="2">
        <v>44986</v>
      </c>
      <c r="I475" s="1" t="s">
        <v>1102</v>
      </c>
      <c r="J475" s="1" t="s">
        <v>1103</v>
      </c>
      <c r="K475" s="1" t="s">
        <v>902</v>
      </c>
      <c r="L475" s="1">
        <v>33465.440000000002</v>
      </c>
      <c r="M475" s="1">
        <v>5</v>
      </c>
      <c r="N475" s="1">
        <v>0.1</v>
      </c>
      <c r="O475" s="1">
        <v>150594.48000000001</v>
      </c>
      <c r="P475" s="1">
        <v>14495.97</v>
      </c>
    </row>
    <row r="476" spans="1:16" x14ac:dyDescent="0.3">
      <c r="A476" s="1" t="s">
        <v>374</v>
      </c>
      <c r="B476" s="2">
        <v>45637</v>
      </c>
      <c r="C476" s="2" t="str">
        <f>TEXT(E_Commerce_data[[#This Row],[order_date]],"MMM")</f>
        <v>Dec</v>
      </c>
      <c r="D476" s="1" t="s">
        <v>206</v>
      </c>
      <c r="E476" s="1" t="s">
        <v>207</v>
      </c>
      <c r="F476" s="1" t="s">
        <v>72</v>
      </c>
      <c r="G476" s="1" t="s">
        <v>48</v>
      </c>
      <c r="H476" s="2">
        <v>45625</v>
      </c>
      <c r="I476" s="1" t="s">
        <v>315</v>
      </c>
      <c r="J476" s="1" t="s">
        <v>316</v>
      </c>
      <c r="K476" s="1" t="s">
        <v>22</v>
      </c>
      <c r="L476" s="1">
        <v>16937.37</v>
      </c>
      <c r="M476" s="1">
        <v>5</v>
      </c>
      <c r="N476" s="1">
        <v>0.15</v>
      </c>
      <c r="O476" s="1">
        <v>71983.820000000007</v>
      </c>
      <c r="P476" s="1">
        <v>23078.03</v>
      </c>
    </row>
    <row r="477" spans="1:16" x14ac:dyDescent="0.3">
      <c r="A477" s="1" t="s">
        <v>529</v>
      </c>
      <c r="B477" s="2">
        <v>45321</v>
      </c>
      <c r="C477" s="2" t="str">
        <f>TEXT(E_Commerce_data[[#This Row],[order_date]],"MMM")</f>
        <v>Jan</v>
      </c>
      <c r="D477" s="1" t="s">
        <v>192</v>
      </c>
      <c r="E477" s="1" t="s">
        <v>193</v>
      </c>
      <c r="F477" s="1" t="s">
        <v>55</v>
      </c>
      <c r="G477" s="1" t="s">
        <v>27</v>
      </c>
      <c r="H477" s="2">
        <v>45448</v>
      </c>
      <c r="I477" s="1" t="s">
        <v>489</v>
      </c>
      <c r="J477" s="1" t="s">
        <v>490</v>
      </c>
      <c r="K477" s="1" t="s">
        <v>22</v>
      </c>
      <c r="L477" s="1">
        <v>11544.23</v>
      </c>
      <c r="M477" s="1">
        <v>5</v>
      </c>
      <c r="N477" s="1">
        <v>0</v>
      </c>
      <c r="O477" s="1">
        <v>57721.15</v>
      </c>
      <c r="P477" s="1">
        <v>17176.13</v>
      </c>
    </row>
    <row r="478" spans="1:16" x14ac:dyDescent="0.3">
      <c r="A478" s="1" t="s">
        <v>1128</v>
      </c>
      <c r="B478" s="2">
        <v>45882</v>
      </c>
      <c r="C478" s="2" t="str">
        <f>TEXT(E_Commerce_data[[#This Row],[order_date]],"MMM")</f>
        <v>Aug</v>
      </c>
      <c r="D478" s="1" t="s">
        <v>366</v>
      </c>
      <c r="E478" s="1" t="s">
        <v>367</v>
      </c>
      <c r="F478" s="1" t="s">
        <v>47</v>
      </c>
      <c r="G478" s="1" t="s">
        <v>48</v>
      </c>
      <c r="H478" s="2">
        <v>45144</v>
      </c>
      <c r="I478" s="1" t="s">
        <v>1102</v>
      </c>
      <c r="J478" s="1" t="s">
        <v>1103</v>
      </c>
      <c r="K478" s="1" t="s">
        <v>902</v>
      </c>
      <c r="L478" s="1">
        <v>33465.440000000002</v>
      </c>
      <c r="M478" s="1">
        <v>1</v>
      </c>
      <c r="N478" s="1">
        <v>0</v>
      </c>
      <c r="O478" s="1">
        <v>33465.440000000002</v>
      </c>
      <c r="P478" s="1">
        <v>11196.33</v>
      </c>
    </row>
    <row r="479" spans="1:16" x14ac:dyDescent="0.3">
      <c r="A479" s="1" t="s">
        <v>927</v>
      </c>
      <c r="B479" s="2">
        <v>45877</v>
      </c>
      <c r="C479" s="2" t="str">
        <f>TEXT(E_Commerce_data[[#This Row],[order_date]],"MMM")</f>
        <v>Aug</v>
      </c>
      <c r="D479" s="1" t="s">
        <v>255</v>
      </c>
      <c r="E479" s="1" t="s">
        <v>256</v>
      </c>
      <c r="F479" s="1" t="s">
        <v>26</v>
      </c>
      <c r="G479" s="1" t="s">
        <v>27</v>
      </c>
      <c r="H479" s="2">
        <v>45372</v>
      </c>
      <c r="I479" s="1" t="s">
        <v>900</v>
      </c>
      <c r="J479" s="1" t="s">
        <v>901</v>
      </c>
      <c r="K479" s="1" t="s">
        <v>902</v>
      </c>
      <c r="L479" s="1">
        <v>42988.79</v>
      </c>
      <c r="M479" s="1">
        <v>3</v>
      </c>
      <c r="N479" s="1">
        <v>0.15</v>
      </c>
      <c r="O479" s="1">
        <v>109621.41</v>
      </c>
      <c r="P479" s="1">
        <v>12413.8</v>
      </c>
    </row>
    <row r="480" spans="1:16" x14ac:dyDescent="0.3">
      <c r="A480" s="1" t="s">
        <v>594</v>
      </c>
      <c r="B480" s="2">
        <v>45801</v>
      </c>
      <c r="C480" s="2" t="str">
        <f>TEXT(E_Commerce_data[[#This Row],[order_date]],"MMM")</f>
        <v>May</v>
      </c>
      <c r="D480" s="1" t="s">
        <v>266</v>
      </c>
      <c r="E480" s="1" t="s">
        <v>267</v>
      </c>
      <c r="F480" s="1" t="s">
        <v>72</v>
      </c>
      <c r="G480" s="1" t="s">
        <v>48</v>
      </c>
      <c r="H480" s="2">
        <v>45316</v>
      </c>
      <c r="I480" s="1" t="s">
        <v>558</v>
      </c>
      <c r="J480" s="1" t="s">
        <v>559</v>
      </c>
      <c r="K480" s="1" t="s">
        <v>560</v>
      </c>
      <c r="L480" s="1">
        <v>11049.86</v>
      </c>
      <c r="M480" s="1">
        <v>4</v>
      </c>
      <c r="N480" s="1">
        <v>0.1</v>
      </c>
      <c r="O480" s="1">
        <v>39779.5</v>
      </c>
      <c r="P480" s="1">
        <v>9614.6</v>
      </c>
    </row>
    <row r="481" spans="1:16" x14ac:dyDescent="0.3">
      <c r="A481" s="1" t="s">
        <v>1064</v>
      </c>
      <c r="B481" s="2">
        <v>45601</v>
      </c>
      <c r="C481" s="2" t="str">
        <f>TEXT(E_Commerce_data[[#This Row],[order_date]],"MMM")</f>
        <v>Nov</v>
      </c>
      <c r="D481" s="1" t="s">
        <v>96</v>
      </c>
      <c r="E481" s="1" t="s">
        <v>97</v>
      </c>
      <c r="F481" s="1" t="s">
        <v>18</v>
      </c>
      <c r="G481" s="1" t="s">
        <v>19</v>
      </c>
      <c r="H481" s="2">
        <v>45094</v>
      </c>
      <c r="I481" s="1" t="s">
        <v>1034</v>
      </c>
      <c r="J481" s="1" t="s">
        <v>1035</v>
      </c>
      <c r="K481" s="1" t="s">
        <v>902</v>
      </c>
      <c r="L481" s="1">
        <v>11938.33</v>
      </c>
      <c r="M481" s="1">
        <v>5</v>
      </c>
      <c r="N481" s="1">
        <v>0</v>
      </c>
      <c r="O481" s="1">
        <v>59691.65</v>
      </c>
      <c r="P481" s="1">
        <v>14479.53</v>
      </c>
    </row>
    <row r="482" spans="1:16" x14ac:dyDescent="0.3">
      <c r="A482" s="1" t="s">
        <v>1129</v>
      </c>
      <c r="B482" s="2">
        <v>45993</v>
      </c>
      <c r="C482" s="2" t="str">
        <f>TEXT(E_Commerce_data[[#This Row],[order_date]],"MMM")</f>
        <v>Dec</v>
      </c>
      <c r="D482" s="1" t="s">
        <v>63</v>
      </c>
      <c r="E482" s="1" t="s">
        <v>64</v>
      </c>
      <c r="F482" s="1" t="s">
        <v>18</v>
      </c>
      <c r="G482" s="1" t="s">
        <v>19</v>
      </c>
      <c r="H482" s="2">
        <v>45501</v>
      </c>
      <c r="I482" s="1" t="s">
        <v>1102</v>
      </c>
      <c r="J482" s="1" t="s">
        <v>1103</v>
      </c>
      <c r="K482" s="1" t="s">
        <v>902</v>
      </c>
      <c r="L482" s="1">
        <v>33465.440000000002</v>
      </c>
      <c r="M482" s="1">
        <v>4</v>
      </c>
      <c r="N482" s="1">
        <v>0</v>
      </c>
      <c r="O482" s="1">
        <v>133861.76000000001</v>
      </c>
      <c r="P482" s="1">
        <v>39008.18</v>
      </c>
    </row>
    <row r="483" spans="1:16" x14ac:dyDescent="0.3">
      <c r="A483" s="1" t="s">
        <v>1065</v>
      </c>
      <c r="B483" s="2">
        <v>45997</v>
      </c>
      <c r="C483" s="2" t="str">
        <f>TEXT(E_Commerce_data[[#This Row],[order_date]],"MMM")</f>
        <v>Dec</v>
      </c>
      <c r="D483" s="1" t="s">
        <v>209</v>
      </c>
      <c r="E483" s="1" t="s">
        <v>210</v>
      </c>
      <c r="F483" s="1" t="s">
        <v>18</v>
      </c>
      <c r="G483" s="1" t="s">
        <v>19</v>
      </c>
      <c r="H483" s="2">
        <v>45507</v>
      </c>
      <c r="I483" s="1" t="s">
        <v>1034</v>
      </c>
      <c r="J483" s="1" t="s">
        <v>1035</v>
      </c>
      <c r="K483" s="1" t="s">
        <v>902</v>
      </c>
      <c r="L483" s="1">
        <v>11938.33</v>
      </c>
      <c r="M483" s="1">
        <v>4</v>
      </c>
      <c r="N483" s="1">
        <v>0</v>
      </c>
      <c r="O483" s="1">
        <v>47753.32</v>
      </c>
      <c r="P483" s="1">
        <v>8885.14</v>
      </c>
    </row>
    <row r="484" spans="1:16" x14ac:dyDescent="0.3">
      <c r="A484" s="1" t="s">
        <v>375</v>
      </c>
      <c r="B484" s="2">
        <v>45787</v>
      </c>
      <c r="C484" s="2" t="str">
        <f>TEXT(E_Commerce_data[[#This Row],[order_date]],"MMM")</f>
        <v>May</v>
      </c>
      <c r="D484" s="1" t="s">
        <v>34</v>
      </c>
      <c r="E484" s="1" t="s">
        <v>35</v>
      </c>
      <c r="F484" s="1" t="s">
        <v>36</v>
      </c>
      <c r="G484" s="1" t="s">
        <v>32</v>
      </c>
      <c r="H484" s="2">
        <v>45041</v>
      </c>
      <c r="I484" s="1" t="s">
        <v>315</v>
      </c>
      <c r="J484" s="1" t="s">
        <v>316</v>
      </c>
      <c r="K484" s="1" t="s">
        <v>22</v>
      </c>
      <c r="L484" s="1">
        <v>16937.37</v>
      </c>
      <c r="M484" s="1">
        <v>1</v>
      </c>
      <c r="N484" s="1">
        <v>0</v>
      </c>
      <c r="O484" s="1">
        <v>16937.37</v>
      </c>
      <c r="P484" s="1">
        <v>3080.6</v>
      </c>
    </row>
    <row r="485" spans="1:16" x14ac:dyDescent="0.3">
      <c r="A485" s="1" t="s">
        <v>1066</v>
      </c>
      <c r="B485" s="2">
        <v>45439</v>
      </c>
      <c r="C485" s="2" t="str">
        <f>TEXT(E_Commerce_data[[#This Row],[order_date]],"MMM")</f>
        <v>May</v>
      </c>
      <c r="D485" s="1" t="s">
        <v>259</v>
      </c>
      <c r="E485" s="1" t="s">
        <v>260</v>
      </c>
      <c r="F485" s="1" t="s">
        <v>18</v>
      </c>
      <c r="G485" s="1" t="s">
        <v>19</v>
      </c>
      <c r="H485" s="2">
        <v>45444</v>
      </c>
      <c r="I485" s="1" t="s">
        <v>1034</v>
      </c>
      <c r="J485" s="1" t="s">
        <v>1035</v>
      </c>
      <c r="K485" s="1" t="s">
        <v>902</v>
      </c>
      <c r="L485" s="1">
        <v>11938.33</v>
      </c>
      <c r="M485" s="1">
        <v>4</v>
      </c>
      <c r="N485" s="1">
        <v>0</v>
      </c>
      <c r="O485" s="1">
        <v>47753.32</v>
      </c>
      <c r="P485" s="1">
        <v>7261.26</v>
      </c>
    </row>
    <row r="486" spans="1:16" x14ac:dyDescent="0.3">
      <c r="A486" s="1" t="s">
        <v>595</v>
      </c>
      <c r="B486" s="2">
        <v>45645</v>
      </c>
      <c r="C486" s="2" t="str">
        <f>TEXT(E_Commerce_data[[#This Row],[order_date]],"MMM")</f>
        <v>Dec</v>
      </c>
      <c r="D486" s="1" t="s">
        <v>179</v>
      </c>
      <c r="E486" s="1" t="s">
        <v>180</v>
      </c>
      <c r="F486" s="1" t="s">
        <v>47</v>
      </c>
      <c r="G486" s="1" t="s">
        <v>48</v>
      </c>
      <c r="H486" s="2">
        <v>45337</v>
      </c>
      <c r="I486" s="1" t="s">
        <v>558</v>
      </c>
      <c r="J486" s="1" t="s">
        <v>559</v>
      </c>
      <c r="K486" s="1" t="s">
        <v>560</v>
      </c>
      <c r="L486" s="1">
        <v>11049.86</v>
      </c>
      <c r="M486" s="1">
        <v>3</v>
      </c>
      <c r="N486" s="1">
        <v>0.2</v>
      </c>
      <c r="O486" s="1">
        <v>26519.66</v>
      </c>
      <c r="P486" s="1">
        <v>7041.2</v>
      </c>
    </row>
    <row r="487" spans="1:16" x14ac:dyDescent="0.3">
      <c r="A487" s="1" t="s">
        <v>665</v>
      </c>
      <c r="B487" s="2">
        <v>45819</v>
      </c>
      <c r="C487" s="2" t="str">
        <f>TEXT(E_Commerce_data[[#This Row],[order_date]],"MMM")</f>
        <v>Jun</v>
      </c>
      <c r="D487" s="1" t="s">
        <v>106</v>
      </c>
      <c r="E487" s="1" t="s">
        <v>107</v>
      </c>
      <c r="F487" s="1" t="s">
        <v>47</v>
      </c>
      <c r="G487" s="1" t="s">
        <v>48</v>
      </c>
      <c r="H487" s="2">
        <v>45375</v>
      </c>
      <c r="I487" s="1" t="s">
        <v>633</v>
      </c>
      <c r="J487" s="1" t="s">
        <v>634</v>
      </c>
      <c r="K487" s="1" t="s">
        <v>560</v>
      </c>
      <c r="L487" s="1">
        <v>3596.1</v>
      </c>
      <c r="M487" s="1">
        <v>4</v>
      </c>
      <c r="N487" s="1">
        <v>0</v>
      </c>
      <c r="O487" s="1">
        <v>14384.4</v>
      </c>
      <c r="P487" s="1">
        <v>4001.73</v>
      </c>
    </row>
    <row r="488" spans="1:16" x14ac:dyDescent="0.3">
      <c r="A488" s="1" t="s">
        <v>729</v>
      </c>
      <c r="B488" s="2">
        <v>45769</v>
      </c>
      <c r="C488" s="2" t="str">
        <f>TEXT(E_Commerce_data[[#This Row],[order_date]],"MMM")</f>
        <v>Apr</v>
      </c>
      <c r="D488" s="1" t="s">
        <v>318</v>
      </c>
      <c r="E488" s="1" t="s">
        <v>319</v>
      </c>
      <c r="F488" s="1" t="s">
        <v>93</v>
      </c>
      <c r="G488" s="1" t="s">
        <v>27</v>
      </c>
      <c r="H488" s="2">
        <v>45054</v>
      </c>
      <c r="I488" s="1" t="s">
        <v>706</v>
      </c>
      <c r="J488" s="1" t="s">
        <v>707</v>
      </c>
      <c r="K488" s="1" t="s">
        <v>560</v>
      </c>
      <c r="L488" s="1">
        <v>31573.59</v>
      </c>
      <c r="M488" s="1">
        <v>5</v>
      </c>
      <c r="N488" s="1">
        <v>0</v>
      </c>
      <c r="O488" s="1">
        <v>157867.95000000001</v>
      </c>
      <c r="P488" s="1">
        <v>23006.85</v>
      </c>
    </row>
    <row r="489" spans="1:16" x14ac:dyDescent="0.3">
      <c r="A489" s="1" t="s">
        <v>865</v>
      </c>
      <c r="B489" s="2">
        <v>45436</v>
      </c>
      <c r="C489" s="2" t="str">
        <f>TEXT(E_Commerce_data[[#This Row],[order_date]],"MMM")</f>
        <v>May</v>
      </c>
      <c r="D489" s="1" t="s">
        <v>263</v>
      </c>
      <c r="E489" s="1" t="s">
        <v>264</v>
      </c>
      <c r="F489" s="1" t="s">
        <v>36</v>
      </c>
      <c r="G489" s="1" t="s">
        <v>32</v>
      </c>
      <c r="H489" s="2">
        <v>45397</v>
      </c>
      <c r="I489" s="1" t="s">
        <v>822</v>
      </c>
      <c r="J489" s="1" t="s">
        <v>823</v>
      </c>
      <c r="K489" s="1" t="s">
        <v>560</v>
      </c>
      <c r="L489" s="1">
        <v>45275.73</v>
      </c>
      <c r="M489" s="1">
        <v>1</v>
      </c>
      <c r="N489" s="1">
        <v>0</v>
      </c>
      <c r="O489" s="1">
        <v>45275.73</v>
      </c>
      <c r="P489" s="1">
        <v>8370.52</v>
      </c>
    </row>
    <row r="490" spans="1:16" x14ac:dyDescent="0.3">
      <c r="A490" s="1" t="s">
        <v>279</v>
      </c>
      <c r="B490" s="2">
        <v>45685</v>
      </c>
      <c r="C490" s="2" t="str">
        <f>TEXT(E_Commerce_data[[#This Row],[order_date]],"MMM")</f>
        <v>Jan</v>
      </c>
      <c r="D490" s="1" t="s">
        <v>135</v>
      </c>
      <c r="E490" s="1" t="s">
        <v>136</v>
      </c>
      <c r="F490" s="1" t="s">
        <v>31</v>
      </c>
      <c r="G490" s="1" t="s">
        <v>32</v>
      </c>
      <c r="H490" s="2">
        <v>45537</v>
      </c>
      <c r="I490" s="1" t="s">
        <v>215</v>
      </c>
      <c r="J490" s="1" t="s">
        <v>216</v>
      </c>
      <c r="K490" s="1" t="s">
        <v>22</v>
      </c>
      <c r="L490" s="1">
        <v>11273.63</v>
      </c>
      <c r="M490" s="1">
        <v>1</v>
      </c>
      <c r="N490" s="1">
        <v>0</v>
      </c>
      <c r="O490" s="1">
        <v>11273.63</v>
      </c>
      <c r="P490" s="1">
        <v>1545.2</v>
      </c>
    </row>
    <row r="491" spans="1:16" x14ac:dyDescent="0.3">
      <c r="A491" s="1" t="s">
        <v>730</v>
      </c>
      <c r="B491" s="2">
        <v>45455</v>
      </c>
      <c r="C491" s="2" t="str">
        <f>TEXT(E_Commerce_data[[#This Row],[order_date]],"MMM")</f>
        <v>Jun</v>
      </c>
      <c r="D491" s="1" t="s">
        <v>129</v>
      </c>
      <c r="E491" s="1" t="s">
        <v>130</v>
      </c>
      <c r="F491" s="1" t="s">
        <v>72</v>
      </c>
      <c r="G491" s="1" t="s">
        <v>48</v>
      </c>
      <c r="H491" s="2">
        <v>45021</v>
      </c>
      <c r="I491" s="1" t="s">
        <v>706</v>
      </c>
      <c r="J491" s="1" t="s">
        <v>707</v>
      </c>
      <c r="K491" s="1" t="s">
        <v>560</v>
      </c>
      <c r="L491" s="1">
        <v>31573.59</v>
      </c>
      <c r="M491" s="1">
        <v>5</v>
      </c>
      <c r="N491" s="1">
        <v>0.05</v>
      </c>
      <c r="O491" s="1">
        <v>149974.54999999999</v>
      </c>
      <c r="P491" s="1">
        <v>18668.990000000002</v>
      </c>
    </row>
    <row r="492" spans="1:16" x14ac:dyDescent="0.3">
      <c r="A492" s="1" t="s">
        <v>1067</v>
      </c>
      <c r="B492" s="2">
        <v>45486</v>
      </c>
      <c r="C492" s="2" t="str">
        <f>TEXT(E_Commerce_data[[#This Row],[order_date]],"MMM")</f>
        <v>Jul</v>
      </c>
      <c r="D492" s="1" t="s">
        <v>366</v>
      </c>
      <c r="E492" s="1" t="s">
        <v>367</v>
      </c>
      <c r="F492" s="1" t="s">
        <v>47</v>
      </c>
      <c r="G492" s="1" t="s">
        <v>48</v>
      </c>
      <c r="H492" s="2">
        <v>45144</v>
      </c>
      <c r="I492" s="1" t="s">
        <v>1034</v>
      </c>
      <c r="J492" s="1" t="s">
        <v>1035</v>
      </c>
      <c r="K492" s="1" t="s">
        <v>902</v>
      </c>
      <c r="L492" s="1">
        <v>11938.33</v>
      </c>
      <c r="M492" s="1">
        <v>3</v>
      </c>
      <c r="N492" s="1">
        <v>0.1</v>
      </c>
      <c r="O492" s="1">
        <v>32233.49</v>
      </c>
      <c r="P492" s="1">
        <v>8585.02</v>
      </c>
    </row>
    <row r="493" spans="1:16" x14ac:dyDescent="0.3">
      <c r="A493" s="1" t="s">
        <v>134</v>
      </c>
      <c r="B493" s="2">
        <v>45770</v>
      </c>
      <c r="C493" s="2" t="str">
        <f>TEXT(E_Commerce_data[[#This Row],[order_date]],"MMM")</f>
        <v>Apr</v>
      </c>
      <c r="D493" s="1" t="s">
        <v>135</v>
      </c>
      <c r="E493" s="1" t="s">
        <v>136</v>
      </c>
      <c r="F493" s="1" t="s">
        <v>31</v>
      </c>
      <c r="G493" s="1" t="s">
        <v>32</v>
      </c>
      <c r="H493" s="2">
        <v>45537</v>
      </c>
      <c r="I493" s="1" t="s">
        <v>20</v>
      </c>
      <c r="J493" s="1" t="s">
        <v>21</v>
      </c>
      <c r="K493" s="1" t="s">
        <v>22</v>
      </c>
      <c r="L493" s="1">
        <v>6094.16</v>
      </c>
      <c r="M493" s="1">
        <v>2</v>
      </c>
      <c r="N493" s="1">
        <v>0.05</v>
      </c>
      <c r="O493" s="1">
        <v>11578.9</v>
      </c>
      <c r="P493" s="1">
        <v>4038.61</v>
      </c>
    </row>
    <row r="494" spans="1:16" x14ac:dyDescent="0.3">
      <c r="A494" s="1" t="s">
        <v>596</v>
      </c>
      <c r="B494" s="2">
        <v>45384</v>
      </c>
      <c r="C494" s="2" t="str">
        <f>TEXT(E_Commerce_data[[#This Row],[order_date]],"MMM")</f>
        <v>Apr</v>
      </c>
      <c r="D494" s="1" t="s">
        <v>175</v>
      </c>
      <c r="E494" s="1" t="s">
        <v>176</v>
      </c>
      <c r="F494" s="1" t="s">
        <v>26</v>
      </c>
      <c r="G494" s="1" t="s">
        <v>27</v>
      </c>
      <c r="H494" s="2">
        <v>45581</v>
      </c>
      <c r="I494" s="1" t="s">
        <v>558</v>
      </c>
      <c r="J494" s="1" t="s">
        <v>559</v>
      </c>
      <c r="K494" s="1" t="s">
        <v>560</v>
      </c>
      <c r="L494" s="1">
        <v>11049.86</v>
      </c>
      <c r="M494" s="1">
        <v>4</v>
      </c>
      <c r="N494" s="1">
        <v>0</v>
      </c>
      <c r="O494" s="1">
        <v>44199.44</v>
      </c>
      <c r="P494" s="1">
        <v>8805.02</v>
      </c>
    </row>
    <row r="495" spans="1:16" x14ac:dyDescent="0.3">
      <c r="A495" s="1" t="s">
        <v>666</v>
      </c>
      <c r="B495" s="2">
        <v>45538</v>
      </c>
      <c r="C495" s="2" t="str">
        <f>TEXT(E_Commerce_data[[#This Row],[order_date]],"MMM")</f>
        <v>Sep</v>
      </c>
      <c r="D495" s="1" t="s">
        <v>99</v>
      </c>
      <c r="E495" s="1" t="s">
        <v>100</v>
      </c>
      <c r="F495" s="1" t="s">
        <v>43</v>
      </c>
      <c r="G495" s="1" t="s">
        <v>32</v>
      </c>
      <c r="H495" s="2">
        <v>45468</v>
      </c>
      <c r="I495" s="1" t="s">
        <v>633</v>
      </c>
      <c r="J495" s="1" t="s">
        <v>634</v>
      </c>
      <c r="K495" s="1" t="s">
        <v>560</v>
      </c>
      <c r="L495" s="1">
        <v>3596.1</v>
      </c>
      <c r="M495" s="1">
        <v>4</v>
      </c>
      <c r="N495" s="1">
        <v>0.1</v>
      </c>
      <c r="O495" s="1">
        <v>12945.96</v>
      </c>
      <c r="P495" s="1">
        <v>2423.08</v>
      </c>
    </row>
    <row r="496" spans="1:16" x14ac:dyDescent="0.3">
      <c r="A496" s="1" t="s">
        <v>731</v>
      </c>
      <c r="B496" s="2">
        <v>45343</v>
      </c>
      <c r="C496" s="2" t="str">
        <f>TEXT(E_Commerce_data[[#This Row],[order_date]],"MMM")</f>
        <v>Feb</v>
      </c>
      <c r="D496" s="1" t="s">
        <v>252</v>
      </c>
      <c r="E496" s="1" t="s">
        <v>253</v>
      </c>
      <c r="F496" s="1" t="s">
        <v>72</v>
      </c>
      <c r="G496" s="1" t="s">
        <v>48</v>
      </c>
      <c r="H496" s="2">
        <v>44973</v>
      </c>
      <c r="I496" s="1" t="s">
        <v>706</v>
      </c>
      <c r="J496" s="1" t="s">
        <v>707</v>
      </c>
      <c r="K496" s="1" t="s">
        <v>560</v>
      </c>
      <c r="L496" s="1">
        <v>31573.59</v>
      </c>
      <c r="M496" s="1">
        <v>2</v>
      </c>
      <c r="N496" s="1">
        <v>0.1</v>
      </c>
      <c r="O496" s="1">
        <v>56832.46</v>
      </c>
      <c r="P496" s="1">
        <v>8858.39</v>
      </c>
    </row>
    <row r="497" spans="1:16" x14ac:dyDescent="0.3">
      <c r="A497" s="1" t="s">
        <v>280</v>
      </c>
      <c r="B497" s="2">
        <v>45961</v>
      </c>
      <c r="C497" s="2" t="str">
        <f>TEXT(E_Commerce_data[[#This Row],[order_date]],"MMM")</f>
        <v>Oct</v>
      </c>
      <c r="D497" s="1" t="s">
        <v>57</v>
      </c>
      <c r="E497" s="1" t="s">
        <v>58</v>
      </c>
      <c r="F497" s="1" t="s">
        <v>55</v>
      </c>
      <c r="G497" s="1" t="s">
        <v>27</v>
      </c>
      <c r="H497" s="2">
        <v>45391</v>
      </c>
      <c r="I497" s="1" t="s">
        <v>215</v>
      </c>
      <c r="J497" s="1" t="s">
        <v>216</v>
      </c>
      <c r="K497" s="1" t="s">
        <v>22</v>
      </c>
      <c r="L497" s="1">
        <v>11273.63</v>
      </c>
      <c r="M497" s="1">
        <v>3</v>
      </c>
      <c r="N497" s="1">
        <v>0.05</v>
      </c>
      <c r="O497" s="1">
        <v>32129.85</v>
      </c>
      <c r="P497" s="1">
        <v>7365.95</v>
      </c>
    </row>
    <row r="498" spans="1:16" x14ac:dyDescent="0.3">
      <c r="A498" s="1" t="s">
        <v>530</v>
      </c>
      <c r="B498" s="2">
        <v>45402</v>
      </c>
      <c r="C498" s="2" t="str">
        <f>TEXT(E_Commerce_data[[#This Row],[order_date]],"MMM")</f>
        <v>Apr</v>
      </c>
      <c r="D498" s="1" t="s">
        <v>453</v>
      </c>
      <c r="E498" s="1" t="s">
        <v>454</v>
      </c>
      <c r="F498" s="1" t="s">
        <v>31</v>
      </c>
      <c r="G498" s="1" t="s">
        <v>32</v>
      </c>
      <c r="H498" s="2">
        <v>45143</v>
      </c>
      <c r="I498" s="1" t="s">
        <v>489</v>
      </c>
      <c r="J498" s="1" t="s">
        <v>490</v>
      </c>
      <c r="K498" s="1" t="s">
        <v>22</v>
      </c>
      <c r="L498" s="1">
        <v>11544.23</v>
      </c>
      <c r="M498" s="1">
        <v>4</v>
      </c>
      <c r="N498" s="1">
        <v>0</v>
      </c>
      <c r="O498" s="1">
        <v>46176.92</v>
      </c>
      <c r="P498" s="1">
        <v>9743.66</v>
      </c>
    </row>
    <row r="499" spans="1:16" x14ac:dyDescent="0.3">
      <c r="A499" s="1" t="s">
        <v>1130</v>
      </c>
      <c r="B499" s="2">
        <v>45666</v>
      </c>
      <c r="C499" s="2" t="str">
        <f>TEXT(E_Commerce_data[[#This Row],[order_date]],"MMM")</f>
        <v>Jan</v>
      </c>
      <c r="D499" s="1" t="s">
        <v>142</v>
      </c>
      <c r="E499" s="1" t="s">
        <v>143</v>
      </c>
      <c r="F499" s="1" t="s">
        <v>93</v>
      </c>
      <c r="G499" s="1" t="s">
        <v>27</v>
      </c>
      <c r="H499" s="2">
        <v>45109</v>
      </c>
      <c r="I499" s="1" t="s">
        <v>1102</v>
      </c>
      <c r="J499" s="1" t="s">
        <v>1103</v>
      </c>
      <c r="K499" s="1" t="s">
        <v>902</v>
      </c>
      <c r="L499" s="1">
        <v>33465.440000000002</v>
      </c>
      <c r="M499" s="1">
        <v>4</v>
      </c>
      <c r="N499" s="1">
        <v>0</v>
      </c>
      <c r="O499" s="1">
        <v>133861.76000000001</v>
      </c>
      <c r="P499" s="1">
        <v>42131.21</v>
      </c>
    </row>
    <row r="500" spans="1:16" x14ac:dyDescent="0.3">
      <c r="A500" s="1" t="s">
        <v>447</v>
      </c>
      <c r="B500" s="2">
        <v>45344</v>
      </c>
      <c r="C500" s="2" t="str">
        <f>TEXT(E_Commerce_data[[#This Row],[order_date]],"MMM")</f>
        <v>Feb</v>
      </c>
      <c r="D500" s="1" t="s">
        <v>96</v>
      </c>
      <c r="E500" s="1" t="s">
        <v>97</v>
      </c>
      <c r="F500" s="1" t="s">
        <v>18</v>
      </c>
      <c r="G500" s="1" t="s">
        <v>19</v>
      </c>
      <c r="H500" s="2">
        <v>45094</v>
      </c>
      <c r="I500" s="1" t="s">
        <v>420</v>
      </c>
      <c r="J500" s="1" t="s">
        <v>421</v>
      </c>
      <c r="K500" s="1" t="s">
        <v>22</v>
      </c>
      <c r="L500" s="1">
        <v>29436.02</v>
      </c>
      <c r="M500" s="1">
        <v>4</v>
      </c>
      <c r="N500" s="1">
        <v>0</v>
      </c>
      <c r="O500" s="1">
        <v>117744.08</v>
      </c>
      <c r="P500" s="1">
        <v>7485.31</v>
      </c>
    </row>
    <row r="501" spans="1:16" x14ac:dyDescent="0.3">
      <c r="A501" s="1" t="s">
        <v>448</v>
      </c>
      <c r="B501" s="2">
        <v>45858</v>
      </c>
      <c r="C501" s="2" t="str">
        <f>TEXT(E_Commerce_data[[#This Row],[order_date]],"MMM")</f>
        <v>Jul</v>
      </c>
      <c r="D501" s="1" t="s">
        <v>449</v>
      </c>
      <c r="E501" s="1" t="s">
        <v>450</v>
      </c>
      <c r="F501" s="1" t="s">
        <v>93</v>
      </c>
      <c r="G501" s="1" t="s">
        <v>27</v>
      </c>
      <c r="H501" s="2">
        <v>45035</v>
      </c>
      <c r="I501" s="1" t="s">
        <v>420</v>
      </c>
      <c r="J501" s="1" t="s">
        <v>421</v>
      </c>
      <c r="K501" s="1" t="s">
        <v>22</v>
      </c>
      <c r="L501" s="1">
        <v>29436.02</v>
      </c>
      <c r="M501" s="1">
        <v>5</v>
      </c>
      <c r="N501" s="1">
        <v>0.1</v>
      </c>
      <c r="O501" s="1">
        <v>132462.09</v>
      </c>
      <c r="P501" s="1">
        <v>14358.44</v>
      </c>
    </row>
    <row r="502" spans="1:16" x14ac:dyDescent="0.3">
      <c r="A502" s="1" t="s">
        <v>1003</v>
      </c>
      <c r="B502" s="2">
        <v>45753</v>
      </c>
      <c r="C502" s="2" t="str">
        <f>TEXT(E_Commerce_data[[#This Row],[order_date]],"MMM")</f>
        <v>Apr</v>
      </c>
      <c r="D502" s="1" t="s">
        <v>109</v>
      </c>
      <c r="E502" s="1" t="s">
        <v>110</v>
      </c>
      <c r="F502" s="1" t="s">
        <v>31</v>
      </c>
      <c r="G502" s="1" t="s">
        <v>32</v>
      </c>
      <c r="H502" s="2">
        <v>45026</v>
      </c>
      <c r="I502" s="1" t="s">
        <v>964</v>
      </c>
      <c r="J502" s="1" t="s">
        <v>965</v>
      </c>
      <c r="K502" s="1" t="s">
        <v>902</v>
      </c>
      <c r="L502" s="1">
        <v>3589.32</v>
      </c>
      <c r="M502" s="1">
        <v>3</v>
      </c>
      <c r="N502" s="1">
        <v>0</v>
      </c>
      <c r="O502" s="1">
        <v>10767.96</v>
      </c>
      <c r="P502" s="1">
        <v>1786.45</v>
      </c>
    </row>
    <row r="503" spans="1:16" x14ac:dyDescent="0.3">
      <c r="A503" s="1" t="s">
        <v>866</v>
      </c>
      <c r="B503" s="2">
        <v>45930</v>
      </c>
      <c r="C503" s="2" t="str">
        <f>TEXT(E_Commerce_data[[#This Row],[order_date]],"MMM")</f>
        <v>Sep</v>
      </c>
      <c r="D503" s="1" t="s">
        <v>153</v>
      </c>
      <c r="E503" s="1" t="s">
        <v>154</v>
      </c>
      <c r="F503" s="1" t="s">
        <v>43</v>
      </c>
      <c r="G503" s="1" t="s">
        <v>32</v>
      </c>
      <c r="H503" s="2">
        <v>45073</v>
      </c>
      <c r="I503" s="1" t="s">
        <v>822</v>
      </c>
      <c r="J503" s="1" t="s">
        <v>823</v>
      </c>
      <c r="K503" s="1" t="s">
        <v>560</v>
      </c>
      <c r="L503" s="1">
        <v>45275.73</v>
      </c>
      <c r="M503" s="1">
        <v>5</v>
      </c>
      <c r="N503" s="1">
        <v>0</v>
      </c>
      <c r="O503" s="1">
        <v>226378.65</v>
      </c>
      <c r="P503" s="1">
        <v>67368.789999999994</v>
      </c>
    </row>
    <row r="504" spans="1:16" x14ac:dyDescent="0.3">
      <c r="A504" s="1" t="s">
        <v>732</v>
      </c>
      <c r="B504" s="2">
        <v>45391</v>
      </c>
      <c r="C504" s="2" t="str">
        <f>TEXT(E_Commerce_data[[#This Row],[order_date]],"MMM")</f>
        <v>Apr</v>
      </c>
      <c r="D504" s="1" t="s">
        <v>156</v>
      </c>
      <c r="E504" s="1" t="s">
        <v>157</v>
      </c>
      <c r="F504" s="1" t="s">
        <v>26</v>
      </c>
      <c r="G504" s="1" t="s">
        <v>27</v>
      </c>
      <c r="H504" s="2">
        <v>45391</v>
      </c>
      <c r="I504" s="1" t="s">
        <v>706</v>
      </c>
      <c r="J504" s="1" t="s">
        <v>707</v>
      </c>
      <c r="K504" s="1" t="s">
        <v>560</v>
      </c>
      <c r="L504" s="1">
        <v>31573.59</v>
      </c>
      <c r="M504" s="1">
        <v>5</v>
      </c>
      <c r="N504" s="1">
        <v>0</v>
      </c>
      <c r="O504" s="1">
        <v>157867.95000000001</v>
      </c>
      <c r="P504" s="1">
        <v>13986.95</v>
      </c>
    </row>
    <row r="505" spans="1:16" x14ac:dyDescent="0.3">
      <c r="A505" s="1" t="s">
        <v>928</v>
      </c>
      <c r="B505" s="2">
        <v>45639</v>
      </c>
      <c r="C505" s="2" t="str">
        <f>TEXT(E_Commerce_data[[#This Row],[order_date]],"MMM")</f>
        <v>Dec</v>
      </c>
      <c r="D505" s="1" t="s">
        <v>121</v>
      </c>
      <c r="E505" s="1" t="s">
        <v>122</v>
      </c>
      <c r="F505" s="1" t="s">
        <v>26</v>
      </c>
      <c r="G505" s="1" t="s">
        <v>27</v>
      </c>
      <c r="H505" s="2">
        <v>44994</v>
      </c>
      <c r="I505" s="1" t="s">
        <v>900</v>
      </c>
      <c r="J505" s="1" t="s">
        <v>901</v>
      </c>
      <c r="K505" s="1" t="s">
        <v>902</v>
      </c>
      <c r="L505" s="1">
        <v>42988.79</v>
      </c>
      <c r="M505" s="1">
        <v>4</v>
      </c>
      <c r="N505" s="1">
        <v>0</v>
      </c>
      <c r="O505" s="1">
        <v>171955.16</v>
      </c>
      <c r="P505" s="1">
        <v>49603.76</v>
      </c>
    </row>
    <row r="506" spans="1:16" x14ac:dyDescent="0.3">
      <c r="A506" s="1" t="s">
        <v>376</v>
      </c>
      <c r="B506" s="2">
        <v>45495</v>
      </c>
      <c r="C506" s="2" t="str">
        <f>TEXT(E_Commerce_data[[#This Row],[order_date]],"MMM")</f>
        <v>Jul</v>
      </c>
      <c r="D506" s="1" t="s">
        <v>112</v>
      </c>
      <c r="E506" s="1" t="s">
        <v>113</v>
      </c>
      <c r="F506" s="1" t="s">
        <v>55</v>
      </c>
      <c r="G506" s="1" t="s">
        <v>27</v>
      </c>
      <c r="H506" s="2">
        <v>45602</v>
      </c>
      <c r="I506" s="1" t="s">
        <v>315</v>
      </c>
      <c r="J506" s="1" t="s">
        <v>316</v>
      </c>
      <c r="K506" s="1" t="s">
        <v>22</v>
      </c>
      <c r="L506" s="1">
        <v>16937.37</v>
      </c>
      <c r="M506" s="1">
        <v>5</v>
      </c>
      <c r="N506" s="1">
        <v>0</v>
      </c>
      <c r="O506" s="1">
        <v>84686.85</v>
      </c>
      <c r="P506" s="1">
        <v>23415.03</v>
      </c>
    </row>
    <row r="507" spans="1:16" x14ac:dyDescent="0.3">
      <c r="A507" s="1" t="s">
        <v>929</v>
      </c>
      <c r="B507" s="2">
        <v>45333</v>
      </c>
      <c r="C507" s="2" t="str">
        <f>TEXT(E_Commerce_data[[#This Row],[order_date]],"MMM")</f>
        <v>Feb</v>
      </c>
      <c r="D507" s="1" t="s">
        <v>329</v>
      </c>
      <c r="E507" s="1" t="s">
        <v>330</v>
      </c>
      <c r="F507" s="1" t="s">
        <v>31</v>
      </c>
      <c r="G507" s="1" t="s">
        <v>32</v>
      </c>
      <c r="H507" s="2">
        <v>45275</v>
      </c>
      <c r="I507" s="1" t="s">
        <v>900</v>
      </c>
      <c r="J507" s="1" t="s">
        <v>901</v>
      </c>
      <c r="K507" s="1" t="s">
        <v>902</v>
      </c>
      <c r="L507" s="1">
        <v>42988.79</v>
      </c>
      <c r="M507" s="1">
        <v>5</v>
      </c>
      <c r="N507" s="1">
        <v>0.1</v>
      </c>
      <c r="O507" s="1">
        <v>193449.56</v>
      </c>
      <c r="P507" s="1">
        <v>32966.92</v>
      </c>
    </row>
    <row r="508" spans="1:16" x14ac:dyDescent="0.3">
      <c r="A508" s="1" t="s">
        <v>1131</v>
      </c>
      <c r="B508" s="2">
        <v>45633</v>
      </c>
      <c r="C508" s="2" t="str">
        <f>TEXT(E_Commerce_data[[#This Row],[order_date]],"MMM")</f>
        <v>Dec</v>
      </c>
      <c r="D508" s="1" t="s">
        <v>139</v>
      </c>
      <c r="E508" s="1" t="s">
        <v>140</v>
      </c>
      <c r="F508" s="1" t="s">
        <v>47</v>
      </c>
      <c r="G508" s="1" t="s">
        <v>48</v>
      </c>
      <c r="H508" s="2">
        <v>44984</v>
      </c>
      <c r="I508" s="1" t="s">
        <v>1102</v>
      </c>
      <c r="J508" s="1" t="s">
        <v>1103</v>
      </c>
      <c r="K508" s="1" t="s">
        <v>902</v>
      </c>
      <c r="L508" s="1">
        <v>33465.440000000002</v>
      </c>
      <c r="M508" s="1">
        <v>1</v>
      </c>
      <c r="N508" s="1">
        <v>0</v>
      </c>
      <c r="O508" s="1">
        <v>33465.440000000002</v>
      </c>
      <c r="P508" s="1">
        <v>3049.07</v>
      </c>
    </row>
    <row r="509" spans="1:16" x14ac:dyDescent="0.3">
      <c r="A509" s="1" t="s">
        <v>1004</v>
      </c>
      <c r="B509" s="2">
        <v>45912</v>
      </c>
      <c r="C509" s="2" t="str">
        <f>TEXT(E_Commerce_data[[#This Row],[order_date]],"MMM")</f>
        <v>Sep</v>
      </c>
      <c r="D509" s="1" t="s">
        <v>361</v>
      </c>
      <c r="E509" s="1" t="s">
        <v>362</v>
      </c>
      <c r="F509" s="1" t="s">
        <v>93</v>
      </c>
      <c r="G509" s="1" t="s">
        <v>27</v>
      </c>
      <c r="H509" s="2">
        <v>45227</v>
      </c>
      <c r="I509" s="1" t="s">
        <v>964</v>
      </c>
      <c r="J509" s="1" t="s">
        <v>965</v>
      </c>
      <c r="K509" s="1" t="s">
        <v>902</v>
      </c>
      <c r="L509" s="1">
        <v>3589.32</v>
      </c>
      <c r="M509" s="1">
        <v>4</v>
      </c>
      <c r="N509" s="1">
        <v>0.1</v>
      </c>
      <c r="O509" s="1">
        <v>12921.55</v>
      </c>
      <c r="P509" s="1">
        <v>2417.58</v>
      </c>
    </row>
    <row r="510" spans="1:16" x14ac:dyDescent="0.3">
      <c r="A510" s="1" t="s">
        <v>137</v>
      </c>
      <c r="B510" s="2">
        <v>45919</v>
      </c>
      <c r="C510" s="2" t="str">
        <f>TEXT(E_Commerce_data[[#This Row],[order_date]],"MMM")</f>
        <v>Sep</v>
      </c>
      <c r="D510" s="1" t="s">
        <v>135</v>
      </c>
      <c r="E510" s="1" t="s">
        <v>136</v>
      </c>
      <c r="F510" s="1" t="s">
        <v>31</v>
      </c>
      <c r="G510" s="1" t="s">
        <v>32</v>
      </c>
      <c r="H510" s="2">
        <v>45537</v>
      </c>
      <c r="I510" s="1" t="s">
        <v>20</v>
      </c>
      <c r="J510" s="1" t="s">
        <v>21</v>
      </c>
      <c r="K510" s="1" t="s">
        <v>22</v>
      </c>
      <c r="L510" s="1">
        <v>6094.16</v>
      </c>
      <c r="M510" s="1">
        <v>5</v>
      </c>
      <c r="N510" s="1">
        <v>0</v>
      </c>
      <c r="O510" s="1">
        <v>30470.799999999999</v>
      </c>
      <c r="P510" s="1">
        <v>4521.55</v>
      </c>
    </row>
    <row r="511" spans="1:16" x14ac:dyDescent="0.3">
      <c r="A511" s="1" t="s">
        <v>281</v>
      </c>
      <c r="B511" s="2">
        <v>45923</v>
      </c>
      <c r="C511" s="2" t="str">
        <f>TEXT(E_Commerce_data[[#This Row],[order_date]],"MMM")</f>
        <v>Sep</v>
      </c>
      <c r="D511" s="1" t="s">
        <v>209</v>
      </c>
      <c r="E511" s="1" t="s">
        <v>210</v>
      </c>
      <c r="F511" s="1" t="s">
        <v>18</v>
      </c>
      <c r="G511" s="1" t="s">
        <v>19</v>
      </c>
      <c r="H511" s="2">
        <v>45507</v>
      </c>
      <c r="I511" s="1" t="s">
        <v>215</v>
      </c>
      <c r="J511" s="1" t="s">
        <v>216</v>
      </c>
      <c r="K511" s="1" t="s">
        <v>22</v>
      </c>
      <c r="L511" s="1">
        <v>11273.63</v>
      </c>
      <c r="M511" s="1">
        <v>3</v>
      </c>
      <c r="N511" s="1">
        <v>0</v>
      </c>
      <c r="O511" s="1">
        <v>33820.89</v>
      </c>
      <c r="P511" s="1">
        <v>5678.07</v>
      </c>
    </row>
    <row r="512" spans="1:16" x14ac:dyDescent="0.3">
      <c r="A512" s="1" t="s">
        <v>1206</v>
      </c>
      <c r="B512" s="2">
        <v>45813</v>
      </c>
      <c r="C512" s="2" t="str">
        <f>TEXT(E_Commerce_data[[#This Row],[order_date]],"MMM")</f>
        <v>Jun</v>
      </c>
      <c r="D512" s="1" t="s">
        <v>91</v>
      </c>
      <c r="E512" s="1" t="s">
        <v>92</v>
      </c>
      <c r="F512" s="1" t="s">
        <v>93</v>
      </c>
      <c r="G512" s="1" t="s">
        <v>27</v>
      </c>
      <c r="H512" s="2">
        <v>45550</v>
      </c>
      <c r="I512" s="1" t="s">
        <v>1162</v>
      </c>
      <c r="J512" s="1" t="s">
        <v>1163</v>
      </c>
      <c r="K512" s="1" t="s">
        <v>902</v>
      </c>
      <c r="L512" s="1">
        <v>10751.13</v>
      </c>
      <c r="M512" s="1">
        <v>3</v>
      </c>
      <c r="N512" s="1">
        <v>0.1</v>
      </c>
      <c r="O512" s="1">
        <v>29028.05</v>
      </c>
      <c r="P512" s="1">
        <v>4380.68</v>
      </c>
    </row>
    <row r="513" spans="1:16" x14ac:dyDescent="0.3">
      <c r="A513" s="1" t="s">
        <v>930</v>
      </c>
      <c r="B513" s="2">
        <v>45598</v>
      </c>
      <c r="C513" s="2" t="str">
        <f>TEXT(E_Commerce_data[[#This Row],[order_date]],"MMM")</f>
        <v>Nov</v>
      </c>
      <c r="D513" s="1" t="s">
        <v>99</v>
      </c>
      <c r="E513" s="1" t="s">
        <v>100</v>
      </c>
      <c r="F513" s="1" t="s">
        <v>43</v>
      </c>
      <c r="G513" s="1" t="s">
        <v>32</v>
      </c>
      <c r="H513" s="2">
        <v>45468</v>
      </c>
      <c r="I513" s="1" t="s">
        <v>900</v>
      </c>
      <c r="J513" s="1" t="s">
        <v>901</v>
      </c>
      <c r="K513" s="1" t="s">
        <v>902</v>
      </c>
      <c r="L513" s="1">
        <v>42988.79</v>
      </c>
      <c r="M513" s="1">
        <v>5</v>
      </c>
      <c r="N513" s="1">
        <v>0.05</v>
      </c>
      <c r="O513" s="1">
        <v>204196.75</v>
      </c>
      <c r="P513" s="1">
        <v>53626.55</v>
      </c>
    </row>
    <row r="514" spans="1:16" x14ac:dyDescent="0.3">
      <c r="A514" s="1" t="s">
        <v>1005</v>
      </c>
      <c r="B514" s="2">
        <v>45631</v>
      </c>
      <c r="C514" s="2" t="str">
        <f>TEXT(E_Commerce_data[[#This Row],[order_date]],"MMM")</f>
        <v>Dec</v>
      </c>
      <c r="D514" s="1" t="s">
        <v>88</v>
      </c>
      <c r="E514" s="1" t="s">
        <v>89</v>
      </c>
      <c r="F514" s="1" t="s">
        <v>18</v>
      </c>
      <c r="G514" s="1" t="s">
        <v>19</v>
      </c>
      <c r="H514" s="2">
        <v>45083</v>
      </c>
      <c r="I514" s="1" t="s">
        <v>964</v>
      </c>
      <c r="J514" s="1" t="s">
        <v>965</v>
      </c>
      <c r="K514" s="1" t="s">
        <v>902</v>
      </c>
      <c r="L514" s="1">
        <v>3589.32</v>
      </c>
      <c r="M514" s="1">
        <v>4</v>
      </c>
      <c r="N514" s="1">
        <v>0.2</v>
      </c>
      <c r="O514" s="1">
        <v>11485.82</v>
      </c>
      <c r="P514" s="1">
        <v>631.62</v>
      </c>
    </row>
    <row r="515" spans="1:16" x14ac:dyDescent="0.3">
      <c r="A515" s="1" t="s">
        <v>931</v>
      </c>
      <c r="B515" s="2">
        <v>45996</v>
      </c>
      <c r="C515" s="2" t="str">
        <f>TEXT(E_Commerce_data[[#This Row],[order_date]],"MMM")</f>
        <v>Dec</v>
      </c>
      <c r="D515" s="1" t="s">
        <v>29</v>
      </c>
      <c r="E515" s="1" t="s">
        <v>30</v>
      </c>
      <c r="F515" s="1" t="s">
        <v>31</v>
      </c>
      <c r="G515" s="1" t="s">
        <v>32</v>
      </c>
      <c r="H515" s="2">
        <v>45537</v>
      </c>
      <c r="I515" s="1" t="s">
        <v>900</v>
      </c>
      <c r="J515" s="1" t="s">
        <v>901</v>
      </c>
      <c r="K515" s="1" t="s">
        <v>902</v>
      </c>
      <c r="L515" s="1">
        <v>42988.79</v>
      </c>
      <c r="M515" s="1">
        <v>1</v>
      </c>
      <c r="N515" s="1">
        <v>0.05</v>
      </c>
      <c r="O515" s="1">
        <v>40839.35</v>
      </c>
      <c r="P515" s="1">
        <v>9193.3700000000008</v>
      </c>
    </row>
    <row r="516" spans="1:16" x14ac:dyDescent="0.3">
      <c r="A516" s="1" t="s">
        <v>531</v>
      </c>
      <c r="B516" s="2">
        <v>45963</v>
      </c>
      <c r="C516" s="2" t="str">
        <f>TEXT(E_Commerce_data[[#This Row],[order_date]],"MMM")</f>
        <v>Nov</v>
      </c>
      <c r="D516" s="1" t="s">
        <v>444</v>
      </c>
      <c r="E516" s="1" t="s">
        <v>445</v>
      </c>
      <c r="F516" s="1" t="s">
        <v>76</v>
      </c>
      <c r="G516" s="1" t="s">
        <v>32</v>
      </c>
      <c r="H516" s="2">
        <v>45123</v>
      </c>
      <c r="I516" s="1" t="s">
        <v>489</v>
      </c>
      <c r="J516" s="1" t="s">
        <v>490</v>
      </c>
      <c r="K516" s="1" t="s">
        <v>22</v>
      </c>
      <c r="L516" s="1">
        <v>11544.23</v>
      </c>
      <c r="M516" s="1">
        <v>1</v>
      </c>
      <c r="N516" s="1">
        <v>0.1</v>
      </c>
      <c r="O516" s="1">
        <v>10389.81</v>
      </c>
      <c r="P516" s="1">
        <v>1998.76</v>
      </c>
    </row>
    <row r="517" spans="1:16" x14ac:dyDescent="0.3">
      <c r="A517" s="1" t="s">
        <v>667</v>
      </c>
      <c r="B517" s="2">
        <v>45344</v>
      </c>
      <c r="C517" s="2" t="str">
        <f>TEXT(E_Commerce_data[[#This Row],[order_date]],"MMM")</f>
        <v>Feb</v>
      </c>
      <c r="D517" s="1" t="s">
        <v>63</v>
      </c>
      <c r="E517" s="1" t="s">
        <v>64</v>
      </c>
      <c r="F517" s="1" t="s">
        <v>18</v>
      </c>
      <c r="G517" s="1" t="s">
        <v>19</v>
      </c>
      <c r="H517" s="2">
        <v>45501</v>
      </c>
      <c r="I517" s="1" t="s">
        <v>633</v>
      </c>
      <c r="J517" s="1" t="s">
        <v>634</v>
      </c>
      <c r="K517" s="1" t="s">
        <v>560</v>
      </c>
      <c r="L517" s="1">
        <v>3596.1</v>
      </c>
      <c r="M517" s="1">
        <v>5</v>
      </c>
      <c r="N517" s="1">
        <v>0.1</v>
      </c>
      <c r="O517" s="1">
        <v>16182.45</v>
      </c>
      <c r="P517" s="1">
        <v>1913.78</v>
      </c>
    </row>
    <row r="518" spans="1:16" x14ac:dyDescent="0.3">
      <c r="A518" s="1" t="s">
        <v>668</v>
      </c>
      <c r="B518" s="2">
        <v>45936</v>
      </c>
      <c r="C518" s="2" t="str">
        <f>TEXT(E_Commerce_data[[#This Row],[order_date]],"MMM")</f>
        <v>Oct</v>
      </c>
      <c r="D518" s="1" t="s">
        <v>109</v>
      </c>
      <c r="E518" s="1" t="s">
        <v>110</v>
      </c>
      <c r="F518" s="1" t="s">
        <v>31</v>
      </c>
      <c r="G518" s="1" t="s">
        <v>32</v>
      </c>
      <c r="H518" s="2">
        <v>45026</v>
      </c>
      <c r="I518" s="1" t="s">
        <v>633</v>
      </c>
      <c r="J518" s="1" t="s">
        <v>634</v>
      </c>
      <c r="K518" s="1" t="s">
        <v>560</v>
      </c>
      <c r="L518" s="1">
        <v>3596.1</v>
      </c>
      <c r="M518" s="1">
        <v>5</v>
      </c>
      <c r="N518" s="1">
        <v>0.05</v>
      </c>
      <c r="O518" s="1">
        <v>17081.47</v>
      </c>
      <c r="P518" s="1">
        <v>1727.85</v>
      </c>
    </row>
    <row r="519" spans="1:16" x14ac:dyDescent="0.3">
      <c r="A519" s="1" t="s">
        <v>932</v>
      </c>
      <c r="B519" s="2">
        <v>45443</v>
      </c>
      <c r="C519" s="2" t="str">
        <f>TEXT(E_Commerce_data[[#This Row],[order_date]],"MMM")</f>
        <v>May</v>
      </c>
      <c r="D519" s="1" t="s">
        <v>573</v>
      </c>
      <c r="E519" s="1" t="s">
        <v>574</v>
      </c>
      <c r="F519" s="1" t="s">
        <v>36</v>
      </c>
      <c r="G519" s="1" t="s">
        <v>32</v>
      </c>
      <c r="H519" s="2">
        <v>45540</v>
      </c>
      <c r="I519" s="1" t="s">
        <v>900</v>
      </c>
      <c r="J519" s="1" t="s">
        <v>901</v>
      </c>
      <c r="K519" s="1" t="s">
        <v>902</v>
      </c>
      <c r="L519" s="1">
        <v>42988.79</v>
      </c>
      <c r="M519" s="1">
        <v>5</v>
      </c>
      <c r="N519" s="1">
        <v>0.2</v>
      </c>
      <c r="O519" s="1">
        <v>171955.16</v>
      </c>
      <c r="P519" s="1">
        <v>51990.67</v>
      </c>
    </row>
    <row r="520" spans="1:16" x14ac:dyDescent="0.3">
      <c r="A520" s="1" t="s">
        <v>597</v>
      </c>
      <c r="B520" s="2">
        <v>46009</v>
      </c>
      <c r="C520" s="2" t="str">
        <f>TEXT(E_Commerce_data[[#This Row],[order_date]],"MMM")</f>
        <v>Dec</v>
      </c>
      <c r="D520" s="1" t="s">
        <v>263</v>
      </c>
      <c r="E520" s="1" t="s">
        <v>264</v>
      </c>
      <c r="F520" s="1" t="s">
        <v>36</v>
      </c>
      <c r="G520" s="1" t="s">
        <v>32</v>
      </c>
      <c r="H520" s="2">
        <v>45397</v>
      </c>
      <c r="I520" s="1" t="s">
        <v>558</v>
      </c>
      <c r="J520" s="1" t="s">
        <v>559</v>
      </c>
      <c r="K520" s="1" t="s">
        <v>560</v>
      </c>
      <c r="L520" s="1">
        <v>11049.86</v>
      </c>
      <c r="M520" s="1">
        <v>2</v>
      </c>
      <c r="N520" s="1">
        <v>0</v>
      </c>
      <c r="O520" s="1">
        <v>22099.72</v>
      </c>
      <c r="P520" s="1">
        <v>4901.08</v>
      </c>
    </row>
    <row r="521" spans="1:16" x14ac:dyDescent="0.3">
      <c r="A521" s="1" t="s">
        <v>451</v>
      </c>
      <c r="B521" s="2">
        <v>45613</v>
      </c>
      <c r="C521" s="2" t="str">
        <f>TEXT(E_Commerce_data[[#This Row],[order_date]],"MMM")</f>
        <v>Nov</v>
      </c>
      <c r="D521" s="1" t="s">
        <v>218</v>
      </c>
      <c r="E521" s="1" t="s">
        <v>219</v>
      </c>
      <c r="F521" s="1" t="s">
        <v>47</v>
      </c>
      <c r="G521" s="1" t="s">
        <v>48</v>
      </c>
      <c r="H521" s="2">
        <v>45241</v>
      </c>
      <c r="I521" s="1" t="s">
        <v>420</v>
      </c>
      <c r="J521" s="1" t="s">
        <v>421</v>
      </c>
      <c r="K521" s="1" t="s">
        <v>22</v>
      </c>
      <c r="L521" s="1">
        <v>29436.02</v>
      </c>
      <c r="M521" s="1">
        <v>1</v>
      </c>
      <c r="N521" s="1">
        <v>0</v>
      </c>
      <c r="O521" s="1">
        <v>29436.02</v>
      </c>
      <c r="P521" s="1">
        <v>1639.03</v>
      </c>
    </row>
    <row r="522" spans="1:16" x14ac:dyDescent="0.3">
      <c r="A522" s="1" t="s">
        <v>377</v>
      </c>
      <c r="B522" s="2">
        <v>45500</v>
      </c>
      <c r="C522" s="2" t="str">
        <f>TEXT(E_Commerce_data[[#This Row],[order_date]],"MMM")</f>
        <v>Jul</v>
      </c>
      <c r="D522" s="1" t="s">
        <v>259</v>
      </c>
      <c r="E522" s="1" t="s">
        <v>260</v>
      </c>
      <c r="F522" s="1" t="s">
        <v>18</v>
      </c>
      <c r="G522" s="1" t="s">
        <v>19</v>
      </c>
      <c r="H522" s="2">
        <v>45444</v>
      </c>
      <c r="I522" s="1" t="s">
        <v>315</v>
      </c>
      <c r="J522" s="1" t="s">
        <v>316</v>
      </c>
      <c r="K522" s="1" t="s">
        <v>22</v>
      </c>
      <c r="L522" s="1">
        <v>16937.37</v>
      </c>
      <c r="M522" s="1">
        <v>4</v>
      </c>
      <c r="N522" s="1">
        <v>0</v>
      </c>
      <c r="O522" s="1">
        <v>67749.48</v>
      </c>
      <c r="P522" s="1">
        <v>11780.82</v>
      </c>
    </row>
    <row r="523" spans="1:16" x14ac:dyDescent="0.3">
      <c r="A523" s="1" t="s">
        <v>1068</v>
      </c>
      <c r="B523" s="2">
        <v>45774</v>
      </c>
      <c r="C523" s="2" t="str">
        <f>TEXT(E_Commerce_data[[#This Row],[order_date]],"MMM")</f>
        <v>Apr</v>
      </c>
      <c r="D523" s="1" t="s">
        <v>341</v>
      </c>
      <c r="E523" s="1" t="s">
        <v>342</v>
      </c>
      <c r="F523" s="1" t="s">
        <v>93</v>
      </c>
      <c r="G523" s="1" t="s">
        <v>27</v>
      </c>
      <c r="H523" s="2">
        <v>45633</v>
      </c>
      <c r="I523" s="1" t="s">
        <v>1034</v>
      </c>
      <c r="J523" s="1" t="s">
        <v>1035</v>
      </c>
      <c r="K523" s="1" t="s">
        <v>902</v>
      </c>
      <c r="L523" s="1">
        <v>11938.33</v>
      </c>
      <c r="M523" s="1">
        <v>4</v>
      </c>
      <c r="N523" s="1">
        <v>0.1</v>
      </c>
      <c r="O523" s="1">
        <v>42977.99</v>
      </c>
      <c r="P523" s="1">
        <v>12140.93</v>
      </c>
    </row>
    <row r="524" spans="1:16" x14ac:dyDescent="0.3">
      <c r="A524" s="1" t="s">
        <v>532</v>
      </c>
      <c r="B524" s="2">
        <v>45504</v>
      </c>
      <c r="C524" s="2" t="str">
        <f>TEXT(E_Commerce_data[[#This Row],[order_date]],"MMM")</f>
        <v>Jul</v>
      </c>
      <c r="D524" s="1" t="s">
        <v>192</v>
      </c>
      <c r="E524" s="1" t="s">
        <v>193</v>
      </c>
      <c r="F524" s="1" t="s">
        <v>55</v>
      </c>
      <c r="G524" s="1" t="s">
        <v>27</v>
      </c>
      <c r="H524" s="2">
        <v>45448</v>
      </c>
      <c r="I524" s="1" t="s">
        <v>489</v>
      </c>
      <c r="J524" s="1" t="s">
        <v>490</v>
      </c>
      <c r="K524" s="1" t="s">
        <v>22</v>
      </c>
      <c r="L524" s="1">
        <v>11544.23</v>
      </c>
      <c r="M524" s="1">
        <v>1</v>
      </c>
      <c r="N524" s="1">
        <v>0.15</v>
      </c>
      <c r="O524" s="1">
        <v>9812.6</v>
      </c>
      <c r="P524" s="1">
        <v>897.11</v>
      </c>
    </row>
    <row r="525" spans="1:16" x14ac:dyDescent="0.3">
      <c r="A525" s="1" t="s">
        <v>1069</v>
      </c>
      <c r="B525" s="2">
        <v>45781</v>
      </c>
      <c r="C525" s="2" t="str">
        <f>TEXT(E_Commerce_data[[#This Row],[order_date]],"MMM")</f>
        <v>May</v>
      </c>
      <c r="D525" s="1" t="s">
        <v>361</v>
      </c>
      <c r="E525" s="1" t="s">
        <v>362</v>
      </c>
      <c r="F525" s="1" t="s">
        <v>93</v>
      </c>
      <c r="G525" s="1" t="s">
        <v>27</v>
      </c>
      <c r="H525" s="2">
        <v>45227</v>
      </c>
      <c r="I525" s="1" t="s">
        <v>1034</v>
      </c>
      <c r="J525" s="1" t="s">
        <v>1035</v>
      </c>
      <c r="K525" s="1" t="s">
        <v>902</v>
      </c>
      <c r="L525" s="1">
        <v>11938.33</v>
      </c>
      <c r="M525" s="1">
        <v>5</v>
      </c>
      <c r="N525" s="1">
        <v>0</v>
      </c>
      <c r="O525" s="1">
        <v>59691.65</v>
      </c>
      <c r="P525" s="1">
        <v>20858.46</v>
      </c>
    </row>
    <row r="526" spans="1:16" x14ac:dyDescent="0.3">
      <c r="A526" s="1" t="s">
        <v>598</v>
      </c>
      <c r="B526" s="2">
        <v>45469</v>
      </c>
      <c r="C526" s="2" t="str">
        <f>TEXT(E_Commerce_data[[#This Row],[order_date]],"MMM")</f>
        <v>Jun</v>
      </c>
      <c r="D526" s="1" t="s">
        <v>165</v>
      </c>
      <c r="E526" s="1" t="s">
        <v>166</v>
      </c>
      <c r="F526" s="1" t="s">
        <v>36</v>
      </c>
      <c r="G526" s="1" t="s">
        <v>32</v>
      </c>
      <c r="H526" s="2">
        <v>45039</v>
      </c>
      <c r="I526" s="1" t="s">
        <v>558</v>
      </c>
      <c r="J526" s="1" t="s">
        <v>559</v>
      </c>
      <c r="K526" s="1" t="s">
        <v>560</v>
      </c>
      <c r="L526" s="1">
        <v>11049.86</v>
      </c>
      <c r="M526" s="1">
        <v>5</v>
      </c>
      <c r="N526" s="1">
        <v>0.05</v>
      </c>
      <c r="O526" s="1">
        <v>52486.84</v>
      </c>
      <c r="P526" s="1">
        <v>7564.71</v>
      </c>
    </row>
    <row r="527" spans="1:16" x14ac:dyDescent="0.3">
      <c r="A527" s="1" t="s">
        <v>867</v>
      </c>
      <c r="B527" s="2">
        <v>45654</v>
      </c>
      <c r="C527" s="2" t="str">
        <f>TEXT(E_Commerce_data[[#This Row],[order_date]],"MMM")</f>
        <v>Dec</v>
      </c>
      <c r="D527" s="1" t="s">
        <v>147</v>
      </c>
      <c r="E527" s="1" t="s">
        <v>148</v>
      </c>
      <c r="F527" s="1" t="s">
        <v>36</v>
      </c>
      <c r="G527" s="1" t="s">
        <v>32</v>
      </c>
      <c r="H527" s="2">
        <v>45090</v>
      </c>
      <c r="I527" s="1" t="s">
        <v>822</v>
      </c>
      <c r="J527" s="1" t="s">
        <v>823</v>
      </c>
      <c r="K527" s="1" t="s">
        <v>560</v>
      </c>
      <c r="L527" s="1">
        <v>45275.73</v>
      </c>
      <c r="M527" s="1">
        <v>4</v>
      </c>
      <c r="N527" s="1">
        <v>0.1</v>
      </c>
      <c r="O527" s="1">
        <v>162992.63</v>
      </c>
      <c r="P527" s="1">
        <v>24888.67</v>
      </c>
    </row>
    <row r="528" spans="1:16" x14ac:dyDescent="0.3">
      <c r="A528" s="1" t="s">
        <v>378</v>
      </c>
      <c r="B528" s="2">
        <v>45544</v>
      </c>
      <c r="C528" s="2" t="str">
        <f>TEXT(E_Commerce_data[[#This Row],[order_date]],"MMM")</f>
        <v>Sep</v>
      </c>
      <c r="D528" s="1" t="s">
        <v>354</v>
      </c>
      <c r="E528" s="1" t="s">
        <v>355</v>
      </c>
      <c r="F528" s="1" t="s">
        <v>26</v>
      </c>
      <c r="G528" s="1" t="s">
        <v>27</v>
      </c>
      <c r="H528" s="2">
        <v>45582</v>
      </c>
      <c r="I528" s="1" t="s">
        <v>315</v>
      </c>
      <c r="J528" s="1" t="s">
        <v>316</v>
      </c>
      <c r="K528" s="1" t="s">
        <v>22</v>
      </c>
      <c r="L528" s="1">
        <v>16937.37</v>
      </c>
      <c r="M528" s="1">
        <v>3</v>
      </c>
      <c r="N528" s="1">
        <v>0.1</v>
      </c>
      <c r="O528" s="1">
        <v>45730.9</v>
      </c>
      <c r="P528" s="1">
        <v>8929.14</v>
      </c>
    </row>
    <row r="529" spans="1:16" x14ac:dyDescent="0.3">
      <c r="A529" s="1" t="s">
        <v>1207</v>
      </c>
      <c r="B529" s="2">
        <v>45596</v>
      </c>
      <c r="C529" s="2" t="str">
        <f>TEXT(E_Commerce_data[[#This Row],[order_date]],"MMM")</f>
        <v>Oct</v>
      </c>
      <c r="D529" s="1" t="s">
        <v>384</v>
      </c>
      <c r="E529" s="1" t="s">
        <v>385</v>
      </c>
      <c r="F529" s="1" t="s">
        <v>93</v>
      </c>
      <c r="G529" s="1" t="s">
        <v>27</v>
      </c>
      <c r="H529" s="2">
        <v>45055</v>
      </c>
      <c r="I529" s="1" t="s">
        <v>1162</v>
      </c>
      <c r="J529" s="1" t="s">
        <v>1163</v>
      </c>
      <c r="K529" s="1" t="s">
        <v>902</v>
      </c>
      <c r="L529" s="1">
        <v>10751.13</v>
      </c>
      <c r="M529" s="1">
        <v>3</v>
      </c>
      <c r="N529" s="1">
        <v>0.1</v>
      </c>
      <c r="O529" s="1">
        <v>29028.05</v>
      </c>
      <c r="P529" s="1">
        <v>4050.86</v>
      </c>
    </row>
    <row r="530" spans="1:16" x14ac:dyDescent="0.3">
      <c r="A530" s="1" t="s">
        <v>868</v>
      </c>
      <c r="B530" s="2">
        <v>46013</v>
      </c>
      <c r="C530" s="2" t="str">
        <f>TEXT(E_Commerce_data[[#This Row],[order_date]],"MMM")</f>
        <v>Dec</v>
      </c>
      <c r="D530" s="1" t="s">
        <v>233</v>
      </c>
      <c r="E530" s="1" t="s">
        <v>234</v>
      </c>
      <c r="F530" s="1" t="s">
        <v>72</v>
      </c>
      <c r="G530" s="1" t="s">
        <v>48</v>
      </c>
      <c r="H530" s="2">
        <v>45321</v>
      </c>
      <c r="I530" s="1" t="s">
        <v>822</v>
      </c>
      <c r="J530" s="1" t="s">
        <v>823</v>
      </c>
      <c r="K530" s="1" t="s">
        <v>560</v>
      </c>
      <c r="L530" s="1">
        <v>45275.73</v>
      </c>
      <c r="M530" s="1">
        <v>3</v>
      </c>
      <c r="N530" s="1">
        <v>0.15</v>
      </c>
      <c r="O530" s="1">
        <v>115453.11</v>
      </c>
      <c r="P530" s="1">
        <v>12951.92</v>
      </c>
    </row>
    <row r="531" spans="1:16" x14ac:dyDescent="0.3">
      <c r="A531" s="1" t="s">
        <v>733</v>
      </c>
      <c r="B531" s="2">
        <v>45865</v>
      </c>
      <c r="C531" s="2" t="str">
        <f>TEXT(E_Commerce_data[[#This Row],[order_date]],"MMM")</f>
        <v>Jul</v>
      </c>
      <c r="D531" s="1" t="s">
        <v>175</v>
      </c>
      <c r="E531" s="1" t="s">
        <v>176</v>
      </c>
      <c r="F531" s="1" t="s">
        <v>26</v>
      </c>
      <c r="G531" s="1" t="s">
        <v>27</v>
      </c>
      <c r="H531" s="2">
        <v>45581</v>
      </c>
      <c r="I531" s="1" t="s">
        <v>706</v>
      </c>
      <c r="J531" s="1" t="s">
        <v>707</v>
      </c>
      <c r="K531" s="1" t="s">
        <v>560</v>
      </c>
      <c r="L531" s="1">
        <v>31573.59</v>
      </c>
      <c r="M531" s="1">
        <v>4</v>
      </c>
      <c r="N531" s="1">
        <v>0</v>
      </c>
      <c r="O531" s="1">
        <v>126294.36</v>
      </c>
      <c r="P531" s="1">
        <v>24493.66</v>
      </c>
    </row>
    <row r="532" spans="1:16" x14ac:dyDescent="0.3">
      <c r="A532" s="1" t="s">
        <v>1006</v>
      </c>
      <c r="B532" s="2">
        <v>45984</v>
      </c>
      <c r="C532" s="2" t="str">
        <f>TEXT(E_Commerce_data[[#This Row],[order_date]],"MMM")</f>
        <v>Nov</v>
      </c>
      <c r="D532" s="1" t="s">
        <v>206</v>
      </c>
      <c r="E532" s="1" t="s">
        <v>207</v>
      </c>
      <c r="F532" s="1" t="s">
        <v>72</v>
      </c>
      <c r="G532" s="1" t="s">
        <v>48</v>
      </c>
      <c r="H532" s="2">
        <v>45625</v>
      </c>
      <c r="I532" s="1" t="s">
        <v>964</v>
      </c>
      <c r="J532" s="1" t="s">
        <v>965</v>
      </c>
      <c r="K532" s="1" t="s">
        <v>902</v>
      </c>
      <c r="L532" s="1">
        <v>3589.32</v>
      </c>
      <c r="M532" s="1">
        <v>3</v>
      </c>
      <c r="N532" s="1">
        <v>0</v>
      </c>
      <c r="O532" s="1">
        <v>10767.96</v>
      </c>
      <c r="P532" s="1">
        <v>932.1</v>
      </c>
    </row>
    <row r="533" spans="1:16" x14ac:dyDescent="0.3">
      <c r="A533" s="1" t="s">
        <v>1132</v>
      </c>
      <c r="B533" s="2">
        <v>45696</v>
      </c>
      <c r="C533" s="2" t="str">
        <f>TEXT(E_Commerce_data[[#This Row],[order_date]],"MMM")</f>
        <v>Feb</v>
      </c>
      <c r="D533" s="1" t="s">
        <v>96</v>
      </c>
      <c r="E533" s="1" t="s">
        <v>97</v>
      </c>
      <c r="F533" s="1" t="s">
        <v>18</v>
      </c>
      <c r="G533" s="1" t="s">
        <v>19</v>
      </c>
      <c r="H533" s="2">
        <v>45094</v>
      </c>
      <c r="I533" s="1" t="s">
        <v>1102</v>
      </c>
      <c r="J533" s="1" t="s">
        <v>1103</v>
      </c>
      <c r="K533" s="1" t="s">
        <v>902</v>
      </c>
      <c r="L533" s="1">
        <v>33465.440000000002</v>
      </c>
      <c r="M533" s="1">
        <v>5</v>
      </c>
      <c r="N533" s="1">
        <v>0.05</v>
      </c>
      <c r="O533" s="1">
        <v>158960.84</v>
      </c>
      <c r="P533" s="1">
        <v>50665.29</v>
      </c>
    </row>
    <row r="534" spans="1:16" x14ac:dyDescent="0.3">
      <c r="A534" s="1" t="s">
        <v>1208</v>
      </c>
      <c r="B534" s="2">
        <v>45589</v>
      </c>
      <c r="C534" s="2" t="str">
        <f>TEXT(E_Commerce_data[[#This Row],[order_date]],"MMM")</f>
        <v>Oct</v>
      </c>
      <c r="D534" s="1" t="s">
        <v>259</v>
      </c>
      <c r="E534" s="1" t="s">
        <v>260</v>
      </c>
      <c r="F534" s="1" t="s">
        <v>18</v>
      </c>
      <c r="G534" s="1" t="s">
        <v>19</v>
      </c>
      <c r="H534" s="2">
        <v>45444</v>
      </c>
      <c r="I534" s="1" t="s">
        <v>1162</v>
      </c>
      <c r="J534" s="1" t="s">
        <v>1163</v>
      </c>
      <c r="K534" s="1" t="s">
        <v>902</v>
      </c>
      <c r="L534" s="1">
        <v>10751.13</v>
      </c>
      <c r="M534" s="1">
        <v>3</v>
      </c>
      <c r="N534" s="1">
        <v>0.2</v>
      </c>
      <c r="O534" s="1">
        <v>25802.71</v>
      </c>
      <c r="P534" s="1">
        <v>7518.52</v>
      </c>
    </row>
    <row r="535" spans="1:16" x14ac:dyDescent="0.3">
      <c r="A535" s="1" t="s">
        <v>1070</v>
      </c>
      <c r="B535" s="2">
        <v>45372</v>
      </c>
      <c r="C535" s="2" t="str">
        <f>TEXT(E_Commerce_data[[#This Row],[order_date]],"MMM")</f>
        <v>Mar</v>
      </c>
      <c r="D535" s="1" t="s">
        <v>495</v>
      </c>
      <c r="E535" s="1" t="s">
        <v>496</v>
      </c>
      <c r="F535" s="1" t="s">
        <v>36</v>
      </c>
      <c r="G535" s="1" t="s">
        <v>32</v>
      </c>
      <c r="H535" s="2">
        <v>45623</v>
      </c>
      <c r="I535" s="1" t="s">
        <v>1034</v>
      </c>
      <c r="J535" s="1" t="s">
        <v>1035</v>
      </c>
      <c r="K535" s="1" t="s">
        <v>902</v>
      </c>
      <c r="L535" s="1">
        <v>11938.33</v>
      </c>
      <c r="M535" s="1">
        <v>1</v>
      </c>
      <c r="N535" s="1">
        <v>0</v>
      </c>
      <c r="O535" s="1">
        <v>11938.33</v>
      </c>
      <c r="P535" s="1">
        <v>4018.37</v>
      </c>
    </row>
    <row r="536" spans="1:16" x14ac:dyDescent="0.3">
      <c r="A536" s="1" t="s">
        <v>599</v>
      </c>
      <c r="B536" s="2">
        <v>45782</v>
      </c>
      <c r="C536" s="2" t="str">
        <f>TEXT(E_Commerce_data[[#This Row],[order_date]],"MMM")</f>
        <v>May</v>
      </c>
      <c r="D536" s="1" t="s">
        <v>519</v>
      </c>
      <c r="E536" s="1" t="s">
        <v>520</v>
      </c>
      <c r="F536" s="1" t="s">
        <v>55</v>
      </c>
      <c r="G536" s="1" t="s">
        <v>27</v>
      </c>
      <c r="H536" s="2">
        <v>45198</v>
      </c>
      <c r="I536" s="1" t="s">
        <v>558</v>
      </c>
      <c r="J536" s="1" t="s">
        <v>559</v>
      </c>
      <c r="K536" s="1" t="s">
        <v>560</v>
      </c>
      <c r="L536" s="1">
        <v>11049.86</v>
      </c>
      <c r="M536" s="1">
        <v>3</v>
      </c>
      <c r="N536" s="1">
        <v>0.05</v>
      </c>
      <c r="O536" s="1">
        <v>31492.1</v>
      </c>
      <c r="P536" s="1">
        <v>7771.99</v>
      </c>
    </row>
    <row r="537" spans="1:16" x14ac:dyDescent="0.3">
      <c r="A537" s="1" t="s">
        <v>533</v>
      </c>
      <c r="B537" s="2">
        <v>45569</v>
      </c>
      <c r="C537" s="2" t="str">
        <f>TEXT(E_Commerce_data[[#This Row],[order_date]],"MMM")</f>
        <v>Oct</v>
      </c>
      <c r="D537" s="1" t="s">
        <v>192</v>
      </c>
      <c r="E537" s="1" t="s">
        <v>193</v>
      </c>
      <c r="F537" s="1" t="s">
        <v>55</v>
      </c>
      <c r="G537" s="1" t="s">
        <v>27</v>
      </c>
      <c r="H537" s="2">
        <v>45448</v>
      </c>
      <c r="I537" s="1" t="s">
        <v>489</v>
      </c>
      <c r="J537" s="1" t="s">
        <v>490</v>
      </c>
      <c r="K537" s="1" t="s">
        <v>22</v>
      </c>
      <c r="L537" s="1">
        <v>11544.23</v>
      </c>
      <c r="M537" s="1">
        <v>2</v>
      </c>
      <c r="N537" s="1">
        <v>0</v>
      </c>
      <c r="O537" s="1">
        <v>23088.46</v>
      </c>
      <c r="P537" s="1">
        <v>6889.26</v>
      </c>
    </row>
    <row r="538" spans="1:16" x14ac:dyDescent="0.3">
      <c r="A538" s="1" t="s">
        <v>1209</v>
      </c>
      <c r="B538" s="2">
        <v>45403</v>
      </c>
      <c r="C538" s="2" t="str">
        <f>TEXT(E_Commerce_data[[#This Row],[order_date]],"MMM")</f>
        <v>Apr</v>
      </c>
      <c r="D538" s="1" t="s">
        <v>82</v>
      </c>
      <c r="E538" s="1" t="s">
        <v>83</v>
      </c>
      <c r="F538" s="1" t="s">
        <v>47</v>
      </c>
      <c r="G538" s="1" t="s">
        <v>48</v>
      </c>
      <c r="H538" s="2">
        <v>45279</v>
      </c>
      <c r="I538" s="1" t="s">
        <v>1162</v>
      </c>
      <c r="J538" s="1" t="s">
        <v>1163</v>
      </c>
      <c r="K538" s="1" t="s">
        <v>902</v>
      </c>
      <c r="L538" s="1">
        <v>10751.13</v>
      </c>
      <c r="M538" s="1">
        <v>5</v>
      </c>
      <c r="N538" s="1">
        <v>0.15</v>
      </c>
      <c r="O538" s="1">
        <v>45692.3</v>
      </c>
      <c r="P538" s="1">
        <v>6007.92</v>
      </c>
    </row>
    <row r="539" spans="1:16" x14ac:dyDescent="0.3">
      <c r="A539" s="1" t="s">
        <v>600</v>
      </c>
      <c r="B539" s="2">
        <v>45540</v>
      </c>
      <c r="C539" s="2" t="str">
        <f>TEXT(E_Commerce_data[[#This Row],[order_date]],"MMM")</f>
        <v>Sep</v>
      </c>
      <c r="D539" s="1" t="s">
        <v>259</v>
      </c>
      <c r="E539" s="1" t="s">
        <v>260</v>
      </c>
      <c r="F539" s="1" t="s">
        <v>18</v>
      </c>
      <c r="G539" s="1" t="s">
        <v>19</v>
      </c>
      <c r="H539" s="2">
        <v>45444</v>
      </c>
      <c r="I539" s="1" t="s">
        <v>558</v>
      </c>
      <c r="J539" s="1" t="s">
        <v>559</v>
      </c>
      <c r="K539" s="1" t="s">
        <v>560</v>
      </c>
      <c r="L539" s="1">
        <v>11049.86</v>
      </c>
      <c r="M539" s="1">
        <v>5</v>
      </c>
      <c r="N539" s="1">
        <v>0.15</v>
      </c>
      <c r="O539" s="1">
        <v>46961.9</v>
      </c>
      <c r="P539" s="1">
        <v>10615.7</v>
      </c>
    </row>
    <row r="540" spans="1:16" x14ac:dyDescent="0.3">
      <c r="A540" s="1" t="s">
        <v>452</v>
      </c>
      <c r="B540" s="2">
        <v>45523</v>
      </c>
      <c r="C540" s="2" t="str">
        <f>TEXT(E_Commerce_data[[#This Row],[order_date]],"MMM")</f>
        <v>Aug</v>
      </c>
      <c r="D540" s="1" t="s">
        <v>453</v>
      </c>
      <c r="E540" s="1" t="s">
        <v>454</v>
      </c>
      <c r="F540" s="1" t="s">
        <v>31</v>
      </c>
      <c r="G540" s="1" t="s">
        <v>32</v>
      </c>
      <c r="H540" s="2">
        <v>45143</v>
      </c>
      <c r="I540" s="1" t="s">
        <v>420</v>
      </c>
      <c r="J540" s="1" t="s">
        <v>421</v>
      </c>
      <c r="K540" s="1" t="s">
        <v>22</v>
      </c>
      <c r="L540" s="1">
        <v>29436.02</v>
      </c>
      <c r="M540" s="1">
        <v>1</v>
      </c>
      <c r="N540" s="1">
        <v>0.15</v>
      </c>
      <c r="O540" s="1">
        <v>25020.62</v>
      </c>
      <c r="P540" s="1">
        <v>8045.51</v>
      </c>
    </row>
    <row r="541" spans="1:16" x14ac:dyDescent="0.3">
      <c r="A541" s="1" t="s">
        <v>534</v>
      </c>
      <c r="B541" s="2">
        <v>45630</v>
      </c>
      <c r="C541" s="2" t="str">
        <f>TEXT(E_Commerce_data[[#This Row],[order_date]],"MMM")</f>
        <v>Dec</v>
      </c>
      <c r="D541" s="1" t="s">
        <v>115</v>
      </c>
      <c r="E541" s="1" t="s">
        <v>116</v>
      </c>
      <c r="F541" s="1" t="s">
        <v>93</v>
      </c>
      <c r="G541" s="1" t="s">
        <v>27</v>
      </c>
      <c r="H541" s="2">
        <v>45196</v>
      </c>
      <c r="I541" s="1" t="s">
        <v>489</v>
      </c>
      <c r="J541" s="1" t="s">
        <v>490</v>
      </c>
      <c r="K541" s="1" t="s">
        <v>22</v>
      </c>
      <c r="L541" s="1">
        <v>11544.23</v>
      </c>
      <c r="M541" s="1">
        <v>2</v>
      </c>
      <c r="N541" s="1">
        <v>0</v>
      </c>
      <c r="O541" s="1">
        <v>23088.46</v>
      </c>
      <c r="P541" s="1">
        <v>1848.45</v>
      </c>
    </row>
    <row r="542" spans="1:16" x14ac:dyDescent="0.3">
      <c r="A542" s="1" t="s">
        <v>138</v>
      </c>
      <c r="B542" s="2">
        <v>45432</v>
      </c>
      <c r="C542" s="2" t="str">
        <f>TEXT(E_Commerce_data[[#This Row],[order_date]],"MMM")</f>
        <v>May</v>
      </c>
      <c r="D542" s="1" t="s">
        <v>139</v>
      </c>
      <c r="E542" s="1" t="s">
        <v>140</v>
      </c>
      <c r="F542" s="1" t="s">
        <v>47</v>
      </c>
      <c r="G542" s="1" t="s">
        <v>48</v>
      </c>
      <c r="H542" s="2">
        <v>44984</v>
      </c>
      <c r="I542" s="1" t="s">
        <v>20</v>
      </c>
      <c r="J542" s="1" t="s">
        <v>21</v>
      </c>
      <c r="K542" s="1" t="s">
        <v>22</v>
      </c>
      <c r="L542" s="1">
        <v>6094.16</v>
      </c>
      <c r="M542" s="1">
        <v>4</v>
      </c>
      <c r="N542" s="1">
        <v>0</v>
      </c>
      <c r="O542" s="1">
        <v>24376.639999999999</v>
      </c>
      <c r="P542" s="1">
        <v>6200.38</v>
      </c>
    </row>
    <row r="543" spans="1:16" x14ac:dyDescent="0.3">
      <c r="A543" s="1" t="s">
        <v>869</v>
      </c>
      <c r="B543" s="2">
        <v>45453</v>
      </c>
      <c r="C543" s="2" t="str">
        <f>TEXT(E_Commerce_data[[#This Row],[order_date]],"MMM")</f>
        <v>Jun</v>
      </c>
      <c r="D543" s="1" t="s">
        <v>444</v>
      </c>
      <c r="E543" s="1" t="s">
        <v>445</v>
      </c>
      <c r="F543" s="1" t="s">
        <v>76</v>
      </c>
      <c r="G543" s="1" t="s">
        <v>32</v>
      </c>
      <c r="H543" s="2">
        <v>45123</v>
      </c>
      <c r="I543" s="1" t="s">
        <v>822</v>
      </c>
      <c r="J543" s="1" t="s">
        <v>823</v>
      </c>
      <c r="K543" s="1" t="s">
        <v>560</v>
      </c>
      <c r="L543" s="1">
        <v>45275.73</v>
      </c>
      <c r="M543" s="1">
        <v>1</v>
      </c>
      <c r="N543" s="1">
        <v>0.1</v>
      </c>
      <c r="O543" s="1">
        <v>40748.160000000003</v>
      </c>
      <c r="P543" s="1">
        <v>13991.83</v>
      </c>
    </row>
    <row r="544" spans="1:16" x14ac:dyDescent="0.3">
      <c r="A544" s="1" t="s">
        <v>669</v>
      </c>
      <c r="B544" s="2">
        <v>45779</v>
      </c>
      <c r="C544" s="2" t="str">
        <f>TEXT(E_Commerce_data[[#This Row],[order_date]],"MMM")</f>
        <v>May</v>
      </c>
      <c r="D544" s="1" t="s">
        <v>78</v>
      </c>
      <c r="E544" s="1" t="s">
        <v>79</v>
      </c>
      <c r="F544" s="1" t="s">
        <v>76</v>
      </c>
      <c r="G544" s="1" t="s">
        <v>32</v>
      </c>
      <c r="H544" s="2">
        <v>45365</v>
      </c>
      <c r="I544" s="1" t="s">
        <v>633</v>
      </c>
      <c r="J544" s="1" t="s">
        <v>634</v>
      </c>
      <c r="K544" s="1" t="s">
        <v>560</v>
      </c>
      <c r="L544" s="1">
        <v>3596.1</v>
      </c>
      <c r="M544" s="1">
        <v>4</v>
      </c>
      <c r="N544" s="1">
        <v>0.15</v>
      </c>
      <c r="O544" s="1">
        <v>12226.74</v>
      </c>
      <c r="P544" s="1">
        <v>4041.06</v>
      </c>
    </row>
    <row r="545" spans="1:16" x14ac:dyDescent="0.3">
      <c r="A545" s="1" t="s">
        <v>601</v>
      </c>
      <c r="B545" s="2">
        <v>45586</v>
      </c>
      <c r="C545" s="2" t="str">
        <f>TEXT(E_Commerce_data[[#This Row],[order_date]],"MMM")</f>
        <v>Oct</v>
      </c>
      <c r="D545" s="1" t="s">
        <v>85</v>
      </c>
      <c r="E545" s="1" t="s">
        <v>86</v>
      </c>
      <c r="F545" s="1" t="s">
        <v>36</v>
      </c>
      <c r="G545" s="1" t="s">
        <v>32</v>
      </c>
      <c r="H545" s="2">
        <v>44957</v>
      </c>
      <c r="I545" s="1" t="s">
        <v>558</v>
      </c>
      <c r="J545" s="1" t="s">
        <v>559</v>
      </c>
      <c r="K545" s="1" t="s">
        <v>560</v>
      </c>
      <c r="L545" s="1">
        <v>11049.86</v>
      </c>
      <c r="M545" s="1">
        <v>4</v>
      </c>
      <c r="N545" s="1">
        <v>0.15</v>
      </c>
      <c r="O545" s="1">
        <v>37569.519999999997</v>
      </c>
      <c r="P545" s="1">
        <v>4126.5200000000004</v>
      </c>
    </row>
    <row r="546" spans="1:16" x14ac:dyDescent="0.3">
      <c r="A546" s="1" t="s">
        <v>1210</v>
      </c>
      <c r="B546" s="2">
        <v>45383</v>
      </c>
      <c r="C546" s="2" t="str">
        <f>TEXT(E_Commerce_data[[#This Row],[order_date]],"MMM")</f>
        <v>Apr</v>
      </c>
      <c r="D546" s="1" t="s">
        <v>112</v>
      </c>
      <c r="E546" s="1" t="s">
        <v>113</v>
      </c>
      <c r="F546" s="1" t="s">
        <v>55</v>
      </c>
      <c r="G546" s="1" t="s">
        <v>27</v>
      </c>
      <c r="H546" s="2">
        <v>45602</v>
      </c>
      <c r="I546" s="1" t="s">
        <v>1162</v>
      </c>
      <c r="J546" s="1" t="s">
        <v>1163</v>
      </c>
      <c r="K546" s="1" t="s">
        <v>902</v>
      </c>
      <c r="L546" s="1">
        <v>10751.13</v>
      </c>
      <c r="M546" s="1">
        <v>3</v>
      </c>
      <c r="N546" s="1">
        <v>0</v>
      </c>
      <c r="O546" s="1">
        <v>32253.39</v>
      </c>
      <c r="P546" s="1">
        <v>7862.39</v>
      </c>
    </row>
    <row r="547" spans="1:16" x14ac:dyDescent="0.3">
      <c r="A547" s="1" t="s">
        <v>1211</v>
      </c>
      <c r="B547" s="2">
        <v>45330</v>
      </c>
      <c r="C547" s="2" t="str">
        <f>TEXT(E_Commerce_data[[#This Row],[order_date]],"MMM")</f>
        <v>Feb</v>
      </c>
      <c r="D547" s="1" t="s">
        <v>112</v>
      </c>
      <c r="E547" s="1" t="s">
        <v>113</v>
      </c>
      <c r="F547" s="1" t="s">
        <v>55</v>
      </c>
      <c r="G547" s="1" t="s">
        <v>27</v>
      </c>
      <c r="H547" s="2">
        <v>45602</v>
      </c>
      <c r="I547" s="1" t="s">
        <v>1162</v>
      </c>
      <c r="J547" s="1" t="s">
        <v>1163</v>
      </c>
      <c r="K547" s="1" t="s">
        <v>902</v>
      </c>
      <c r="L547" s="1">
        <v>10751.13</v>
      </c>
      <c r="M547" s="1">
        <v>5</v>
      </c>
      <c r="N547" s="1">
        <v>0</v>
      </c>
      <c r="O547" s="1">
        <v>53755.65</v>
      </c>
      <c r="P547" s="1">
        <v>11318.02</v>
      </c>
    </row>
    <row r="548" spans="1:16" x14ac:dyDescent="0.3">
      <c r="A548" s="1" t="s">
        <v>535</v>
      </c>
      <c r="B548" s="2">
        <v>45472</v>
      </c>
      <c r="C548" s="2" t="str">
        <f>TEXT(E_Commerce_data[[#This Row],[order_date]],"MMM")</f>
        <v>Jun</v>
      </c>
      <c r="D548" s="1" t="s">
        <v>277</v>
      </c>
      <c r="E548" s="1" t="s">
        <v>278</v>
      </c>
      <c r="F548" s="1" t="s">
        <v>43</v>
      </c>
      <c r="G548" s="1" t="s">
        <v>32</v>
      </c>
      <c r="H548" s="2">
        <v>44997</v>
      </c>
      <c r="I548" s="1" t="s">
        <v>489</v>
      </c>
      <c r="J548" s="1" t="s">
        <v>490</v>
      </c>
      <c r="K548" s="1" t="s">
        <v>22</v>
      </c>
      <c r="L548" s="1">
        <v>11544.23</v>
      </c>
      <c r="M548" s="1">
        <v>2</v>
      </c>
      <c r="N548" s="1">
        <v>0.05</v>
      </c>
      <c r="O548" s="1">
        <v>21934.04</v>
      </c>
      <c r="P548" s="1">
        <v>6902.06</v>
      </c>
    </row>
    <row r="549" spans="1:16" x14ac:dyDescent="0.3">
      <c r="A549" s="1" t="s">
        <v>602</v>
      </c>
      <c r="B549" s="2">
        <v>45799</v>
      </c>
      <c r="C549" s="2" t="str">
        <f>TEXT(E_Commerce_data[[#This Row],[order_date]],"MMM")</f>
        <v>May</v>
      </c>
      <c r="D549" s="1" t="s">
        <v>318</v>
      </c>
      <c r="E549" s="1" t="s">
        <v>319</v>
      </c>
      <c r="F549" s="1" t="s">
        <v>93</v>
      </c>
      <c r="G549" s="1" t="s">
        <v>27</v>
      </c>
      <c r="H549" s="2">
        <v>45054</v>
      </c>
      <c r="I549" s="1" t="s">
        <v>558</v>
      </c>
      <c r="J549" s="1" t="s">
        <v>559</v>
      </c>
      <c r="K549" s="1" t="s">
        <v>560</v>
      </c>
      <c r="L549" s="1">
        <v>11049.86</v>
      </c>
      <c r="M549" s="1">
        <v>1</v>
      </c>
      <c r="N549" s="1">
        <v>0.2</v>
      </c>
      <c r="O549" s="1">
        <v>8839.89</v>
      </c>
      <c r="P549" s="1">
        <v>1494.81</v>
      </c>
    </row>
    <row r="550" spans="1:16" x14ac:dyDescent="0.3">
      <c r="A550" s="1" t="s">
        <v>795</v>
      </c>
      <c r="B550" s="2">
        <v>45588</v>
      </c>
      <c r="C550" s="2" t="str">
        <f>TEXT(E_Commerce_data[[#This Row],[order_date]],"MMM")</f>
        <v>Oct</v>
      </c>
      <c r="D550" s="1" t="s">
        <v>24</v>
      </c>
      <c r="E550" s="1" t="s">
        <v>25</v>
      </c>
      <c r="F550" s="1" t="s">
        <v>26</v>
      </c>
      <c r="G550" s="1" t="s">
        <v>27</v>
      </c>
      <c r="H550" s="2">
        <v>45069</v>
      </c>
      <c r="I550" s="1" t="s">
        <v>763</v>
      </c>
      <c r="J550" s="1" t="s">
        <v>764</v>
      </c>
      <c r="K550" s="1" t="s">
        <v>560</v>
      </c>
      <c r="L550" s="1">
        <v>11485.64</v>
      </c>
      <c r="M550" s="1">
        <v>2</v>
      </c>
      <c r="N550" s="1">
        <v>0.15</v>
      </c>
      <c r="O550" s="1">
        <v>19525.59</v>
      </c>
      <c r="P550" s="1">
        <v>6612.13</v>
      </c>
    </row>
    <row r="551" spans="1:16" x14ac:dyDescent="0.3">
      <c r="A551" s="1" t="s">
        <v>603</v>
      </c>
      <c r="B551" s="2">
        <v>45909</v>
      </c>
      <c r="C551" s="2" t="str">
        <f>TEXT(E_Commerce_data[[#This Row],[order_date]],"MMM")</f>
        <v>Sep</v>
      </c>
      <c r="D551" s="1" t="s">
        <v>70</v>
      </c>
      <c r="E551" s="1" t="s">
        <v>71</v>
      </c>
      <c r="F551" s="1" t="s">
        <v>72</v>
      </c>
      <c r="G551" s="1" t="s">
        <v>48</v>
      </c>
      <c r="H551" s="2">
        <v>45150</v>
      </c>
      <c r="I551" s="1" t="s">
        <v>558</v>
      </c>
      <c r="J551" s="1" t="s">
        <v>559</v>
      </c>
      <c r="K551" s="1" t="s">
        <v>560</v>
      </c>
      <c r="L551" s="1">
        <v>11049.86</v>
      </c>
      <c r="M551" s="1">
        <v>1</v>
      </c>
      <c r="N551" s="1">
        <v>0</v>
      </c>
      <c r="O551" s="1">
        <v>11049.86</v>
      </c>
      <c r="P551" s="1">
        <v>1541.65</v>
      </c>
    </row>
    <row r="552" spans="1:16" x14ac:dyDescent="0.3">
      <c r="A552" s="1" t="s">
        <v>1133</v>
      </c>
      <c r="B552" s="2">
        <v>45948</v>
      </c>
      <c r="C552" s="2" t="str">
        <f>TEXT(E_Commerce_data[[#This Row],[order_date]],"MMM")</f>
        <v>Oct</v>
      </c>
      <c r="D552" s="1" t="s">
        <v>233</v>
      </c>
      <c r="E552" s="1" t="s">
        <v>234</v>
      </c>
      <c r="F552" s="1" t="s">
        <v>72</v>
      </c>
      <c r="G552" s="1" t="s">
        <v>48</v>
      </c>
      <c r="H552" s="2">
        <v>45321</v>
      </c>
      <c r="I552" s="1" t="s">
        <v>1102</v>
      </c>
      <c r="J552" s="1" t="s">
        <v>1103</v>
      </c>
      <c r="K552" s="1" t="s">
        <v>902</v>
      </c>
      <c r="L552" s="1">
        <v>33465.440000000002</v>
      </c>
      <c r="M552" s="1">
        <v>1</v>
      </c>
      <c r="N552" s="1">
        <v>0</v>
      </c>
      <c r="O552" s="1">
        <v>33465.440000000002</v>
      </c>
      <c r="P552" s="1">
        <v>4530.17</v>
      </c>
    </row>
    <row r="553" spans="1:16" x14ac:dyDescent="0.3">
      <c r="A553" s="1" t="s">
        <v>670</v>
      </c>
      <c r="B553" s="2">
        <v>45429</v>
      </c>
      <c r="C553" s="2" t="str">
        <f>TEXT(E_Commerce_data[[#This Row],[order_date]],"MMM")</f>
        <v>May</v>
      </c>
      <c r="D553" s="1" t="s">
        <v>16</v>
      </c>
      <c r="E553" s="1" t="s">
        <v>17</v>
      </c>
      <c r="F553" s="1" t="s">
        <v>18</v>
      </c>
      <c r="G553" s="1" t="s">
        <v>19</v>
      </c>
      <c r="H553" s="2">
        <v>44986</v>
      </c>
      <c r="I553" s="1" t="s">
        <v>633</v>
      </c>
      <c r="J553" s="1" t="s">
        <v>634</v>
      </c>
      <c r="K553" s="1" t="s">
        <v>560</v>
      </c>
      <c r="L553" s="1">
        <v>3596.1</v>
      </c>
      <c r="M553" s="1">
        <v>5</v>
      </c>
      <c r="N553" s="1">
        <v>0.1</v>
      </c>
      <c r="O553" s="1">
        <v>16182.45</v>
      </c>
      <c r="P553" s="1">
        <v>3206.94</v>
      </c>
    </row>
    <row r="554" spans="1:16" x14ac:dyDescent="0.3">
      <c r="A554" s="1" t="s">
        <v>870</v>
      </c>
      <c r="B554" s="2">
        <v>45407</v>
      </c>
      <c r="C554" s="2" t="str">
        <f>TEXT(E_Commerce_data[[#This Row],[order_date]],"MMM")</f>
        <v>Apr</v>
      </c>
      <c r="D554" s="1" t="s">
        <v>287</v>
      </c>
      <c r="E554" s="1" t="s">
        <v>288</v>
      </c>
      <c r="F554" s="1" t="s">
        <v>18</v>
      </c>
      <c r="G554" s="1" t="s">
        <v>19</v>
      </c>
      <c r="H554" s="2">
        <v>44959</v>
      </c>
      <c r="I554" s="1" t="s">
        <v>822</v>
      </c>
      <c r="J554" s="1" t="s">
        <v>823</v>
      </c>
      <c r="K554" s="1" t="s">
        <v>560</v>
      </c>
      <c r="L554" s="1">
        <v>45275.73</v>
      </c>
      <c r="M554" s="1">
        <v>5</v>
      </c>
      <c r="N554" s="1">
        <v>0.05</v>
      </c>
      <c r="O554" s="1">
        <v>215059.72</v>
      </c>
      <c r="P554" s="1">
        <v>28355.87</v>
      </c>
    </row>
    <row r="555" spans="1:16" x14ac:dyDescent="0.3">
      <c r="A555" s="1" t="s">
        <v>933</v>
      </c>
      <c r="B555" s="2">
        <v>45955</v>
      </c>
      <c r="C555" s="2" t="str">
        <f>TEXT(E_Commerce_data[[#This Row],[order_date]],"MMM")</f>
        <v>Oct</v>
      </c>
      <c r="D555" s="1" t="s">
        <v>297</v>
      </c>
      <c r="E555" s="1" t="s">
        <v>298</v>
      </c>
      <c r="F555" s="1" t="s">
        <v>47</v>
      </c>
      <c r="G555" s="1" t="s">
        <v>48</v>
      </c>
      <c r="H555" s="2">
        <v>45092</v>
      </c>
      <c r="I555" s="1" t="s">
        <v>900</v>
      </c>
      <c r="J555" s="1" t="s">
        <v>901</v>
      </c>
      <c r="K555" s="1" t="s">
        <v>902</v>
      </c>
      <c r="L555" s="1">
        <v>42988.79</v>
      </c>
      <c r="M555" s="1">
        <v>3</v>
      </c>
      <c r="N555" s="1">
        <v>0</v>
      </c>
      <c r="O555" s="1">
        <v>128966.37</v>
      </c>
      <c r="P555" s="1">
        <v>34735.26</v>
      </c>
    </row>
    <row r="556" spans="1:16" x14ac:dyDescent="0.3">
      <c r="A556" s="1" t="s">
        <v>1007</v>
      </c>
      <c r="B556" s="2">
        <v>45637</v>
      </c>
      <c r="C556" s="2" t="str">
        <f>TEXT(E_Commerce_data[[#This Row],[order_date]],"MMM")</f>
        <v>Dec</v>
      </c>
      <c r="D556" s="1" t="s">
        <v>162</v>
      </c>
      <c r="E556" s="1" t="s">
        <v>163</v>
      </c>
      <c r="F556" s="1" t="s">
        <v>93</v>
      </c>
      <c r="G556" s="1" t="s">
        <v>27</v>
      </c>
      <c r="H556" s="2">
        <v>45200</v>
      </c>
      <c r="I556" s="1" t="s">
        <v>964</v>
      </c>
      <c r="J556" s="1" t="s">
        <v>965</v>
      </c>
      <c r="K556" s="1" t="s">
        <v>902</v>
      </c>
      <c r="L556" s="1">
        <v>3589.32</v>
      </c>
      <c r="M556" s="1">
        <v>3</v>
      </c>
      <c r="N556" s="1">
        <v>0.15</v>
      </c>
      <c r="O556" s="1">
        <v>9152.77</v>
      </c>
      <c r="P556" s="1">
        <v>968.91</v>
      </c>
    </row>
    <row r="557" spans="1:16" x14ac:dyDescent="0.3">
      <c r="A557" s="1" t="s">
        <v>934</v>
      </c>
      <c r="B557" s="2">
        <v>45489</v>
      </c>
      <c r="C557" s="2" t="str">
        <f>TEXT(E_Commerce_data[[#This Row],[order_date]],"MMM")</f>
        <v>Jul</v>
      </c>
      <c r="D557" s="1" t="s">
        <v>203</v>
      </c>
      <c r="E557" s="1" t="s">
        <v>204</v>
      </c>
      <c r="F557" s="1" t="s">
        <v>76</v>
      </c>
      <c r="G557" s="1" t="s">
        <v>32</v>
      </c>
      <c r="H557" s="2">
        <v>45297</v>
      </c>
      <c r="I557" s="1" t="s">
        <v>900</v>
      </c>
      <c r="J557" s="1" t="s">
        <v>901</v>
      </c>
      <c r="K557" s="1" t="s">
        <v>902</v>
      </c>
      <c r="L557" s="1">
        <v>42988.79</v>
      </c>
      <c r="M557" s="1">
        <v>3</v>
      </c>
      <c r="N557" s="1">
        <v>0.1</v>
      </c>
      <c r="O557" s="1">
        <v>116069.73</v>
      </c>
      <c r="P557" s="1">
        <v>29286.75</v>
      </c>
    </row>
    <row r="558" spans="1:16" x14ac:dyDescent="0.3">
      <c r="A558" s="1" t="s">
        <v>734</v>
      </c>
      <c r="B558" s="2">
        <v>45707</v>
      </c>
      <c r="C558" s="2" t="str">
        <f>TEXT(E_Commerce_data[[#This Row],[order_date]],"MMM")</f>
        <v>Feb</v>
      </c>
      <c r="D558" s="1" t="s">
        <v>329</v>
      </c>
      <c r="E558" s="1" t="s">
        <v>330</v>
      </c>
      <c r="F558" s="1" t="s">
        <v>31</v>
      </c>
      <c r="G558" s="1" t="s">
        <v>32</v>
      </c>
      <c r="H558" s="2">
        <v>45275</v>
      </c>
      <c r="I558" s="1" t="s">
        <v>706</v>
      </c>
      <c r="J558" s="1" t="s">
        <v>707</v>
      </c>
      <c r="K558" s="1" t="s">
        <v>560</v>
      </c>
      <c r="L558" s="1">
        <v>31573.59</v>
      </c>
      <c r="M558" s="1">
        <v>2</v>
      </c>
      <c r="N558" s="1">
        <v>0.1</v>
      </c>
      <c r="O558" s="1">
        <v>56832.46</v>
      </c>
      <c r="P558" s="1">
        <v>17438.7</v>
      </c>
    </row>
    <row r="559" spans="1:16" x14ac:dyDescent="0.3">
      <c r="A559" s="1" t="s">
        <v>1212</v>
      </c>
      <c r="B559" s="2">
        <v>45702</v>
      </c>
      <c r="C559" s="2" t="str">
        <f>TEXT(E_Commerce_data[[#This Row],[order_date]],"MMM")</f>
        <v>Feb</v>
      </c>
      <c r="D559" s="1" t="s">
        <v>495</v>
      </c>
      <c r="E559" s="1" t="s">
        <v>496</v>
      </c>
      <c r="F559" s="1" t="s">
        <v>36</v>
      </c>
      <c r="G559" s="1" t="s">
        <v>32</v>
      </c>
      <c r="H559" s="2">
        <v>45623</v>
      </c>
      <c r="I559" s="1" t="s">
        <v>1162</v>
      </c>
      <c r="J559" s="1" t="s">
        <v>1163</v>
      </c>
      <c r="K559" s="1" t="s">
        <v>902</v>
      </c>
      <c r="L559" s="1">
        <v>10751.13</v>
      </c>
      <c r="M559" s="1">
        <v>4</v>
      </c>
      <c r="N559" s="1">
        <v>0.1</v>
      </c>
      <c r="O559" s="1">
        <v>38704.07</v>
      </c>
      <c r="P559" s="1">
        <v>5742.83</v>
      </c>
    </row>
    <row r="560" spans="1:16" x14ac:dyDescent="0.3">
      <c r="A560" s="1" t="s">
        <v>455</v>
      </c>
      <c r="B560" s="2">
        <v>45780</v>
      </c>
      <c r="C560" s="2" t="str">
        <f>TEXT(E_Commerce_data[[#This Row],[order_date]],"MMM")</f>
        <v>May</v>
      </c>
      <c r="D560" s="1" t="s">
        <v>150</v>
      </c>
      <c r="E560" s="1" t="s">
        <v>151</v>
      </c>
      <c r="F560" s="1" t="s">
        <v>93</v>
      </c>
      <c r="G560" s="1" t="s">
        <v>27</v>
      </c>
      <c r="H560" s="2">
        <v>45470</v>
      </c>
      <c r="I560" s="1" t="s">
        <v>420</v>
      </c>
      <c r="J560" s="1" t="s">
        <v>421</v>
      </c>
      <c r="K560" s="1" t="s">
        <v>22</v>
      </c>
      <c r="L560" s="1">
        <v>29436.02</v>
      </c>
      <c r="M560" s="1">
        <v>1</v>
      </c>
      <c r="N560" s="1">
        <v>0</v>
      </c>
      <c r="O560" s="1">
        <v>29436.02</v>
      </c>
      <c r="P560" s="1">
        <v>10140.870000000001</v>
      </c>
    </row>
    <row r="561" spans="1:16" x14ac:dyDescent="0.3">
      <c r="A561" s="1" t="s">
        <v>141</v>
      </c>
      <c r="B561" s="2">
        <v>45684</v>
      </c>
      <c r="C561" s="2" t="str">
        <f>TEXT(E_Commerce_data[[#This Row],[order_date]],"MMM")</f>
        <v>Jan</v>
      </c>
      <c r="D561" s="1" t="s">
        <v>142</v>
      </c>
      <c r="E561" s="1" t="s">
        <v>143</v>
      </c>
      <c r="F561" s="1" t="s">
        <v>93</v>
      </c>
      <c r="G561" s="1" t="s">
        <v>27</v>
      </c>
      <c r="H561" s="2">
        <v>45109</v>
      </c>
      <c r="I561" s="1" t="s">
        <v>20</v>
      </c>
      <c r="J561" s="1" t="s">
        <v>21</v>
      </c>
      <c r="K561" s="1" t="s">
        <v>22</v>
      </c>
      <c r="L561" s="1">
        <v>6094.16</v>
      </c>
      <c r="M561" s="1">
        <v>3</v>
      </c>
      <c r="N561" s="1">
        <v>0</v>
      </c>
      <c r="O561" s="1">
        <v>18282.48</v>
      </c>
      <c r="P561" s="1">
        <v>951.59</v>
      </c>
    </row>
    <row r="562" spans="1:16" x14ac:dyDescent="0.3">
      <c r="A562" s="1" t="s">
        <v>456</v>
      </c>
      <c r="B562" s="2">
        <v>45629</v>
      </c>
      <c r="C562" s="2" t="str">
        <f>TEXT(E_Commerce_data[[#This Row],[order_date]],"MMM")</f>
        <v>Dec</v>
      </c>
      <c r="D562" s="1" t="s">
        <v>329</v>
      </c>
      <c r="E562" s="1" t="s">
        <v>330</v>
      </c>
      <c r="F562" s="1" t="s">
        <v>31</v>
      </c>
      <c r="G562" s="1" t="s">
        <v>32</v>
      </c>
      <c r="H562" s="2">
        <v>45275</v>
      </c>
      <c r="I562" s="1" t="s">
        <v>420</v>
      </c>
      <c r="J562" s="1" t="s">
        <v>421</v>
      </c>
      <c r="K562" s="1" t="s">
        <v>22</v>
      </c>
      <c r="L562" s="1">
        <v>29436.02</v>
      </c>
      <c r="M562" s="1">
        <v>2</v>
      </c>
      <c r="N562" s="1">
        <v>0.05</v>
      </c>
      <c r="O562" s="1">
        <v>55928.44</v>
      </c>
      <c r="P562" s="1">
        <v>15443.35</v>
      </c>
    </row>
    <row r="563" spans="1:16" x14ac:dyDescent="0.3">
      <c r="A563" s="1" t="s">
        <v>379</v>
      </c>
      <c r="B563" s="2">
        <v>45303</v>
      </c>
      <c r="C563" s="2" t="str">
        <f>TEXT(E_Commerce_data[[#This Row],[order_date]],"MMM")</f>
        <v>Jan</v>
      </c>
      <c r="D563" s="1" t="s">
        <v>192</v>
      </c>
      <c r="E563" s="1" t="s">
        <v>193</v>
      </c>
      <c r="F563" s="1" t="s">
        <v>55</v>
      </c>
      <c r="G563" s="1" t="s">
        <v>27</v>
      </c>
      <c r="H563" s="2">
        <v>45448</v>
      </c>
      <c r="I563" s="1" t="s">
        <v>315</v>
      </c>
      <c r="J563" s="1" t="s">
        <v>316</v>
      </c>
      <c r="K563" s="1" t="s">
        <v>22</v>
      </c>
      <c r="L563" s="1">
        <v>16937.37</v>
      </c>
      <c r="M563" s="1">
        <v>3</v>
      </c>
      <c r="N563" s="1">
        <v>0.1</v>
      </c>
      <c r="O563" s="1">
        <v>45730.9</v>
      </c>
      <c r="P563" s="1">
        <v>12203.97</v>
      </c>
    </row>
    <row r="564" spans="1:16" x14ac:dyDescent="0.3">
      <c r="A564" s="1" t="s">
        <v>1008</v>
      </c>
      <c r="B564" s="2">
        <v>45533</v>
      </c>
      <c r="C564" s="2" t="str">
        <f>TEXT(E_Commerce_data[[#This Row],[order_date]],"MMM")</f>
        <v>Aug</v>
      </c>
      <c r="D564" s="1" t="s">
        <v>318</v>
      </c>
      <c r="E564" s="1" t="s">
        <v>319</v>
      </c>
      <c r="F564" s="1" t="s">
        <v>93</v>
      </c>
      <c r="G564" s="1" t="s">
        <v>27</v>
      </c>
      <c r="H564" s="2">
        <v>45054</v>
      </c>
      <c r="I564" s="1" t="s">
        <v>964</v>
      </c>
      <c r="J564" s="1" t="s">
        <v>965</v>
      </c>
      <c r="K564" s="1" t="s">
        <v>902</v>
      </c>
      <c r="L564" s="1">
        <v>3589.32</v>
      </c>
      <c r="M564" s="1">
        <v>3</v>
      </c>
      <c r="N564" s="1">
        <v>0.15</v>
      </c>
      <c r="O564" s="1">
        <v>9152.77</v>
      </c>
      <c r="P564" s="1">
        <v>1444.91</v>
      </c>
    </row>
    <row r="565" spans="1:16" x14ac:dyDescent="0.3">
      <c r="A565" s="1" t="s">
        <v>671</v>
      </c>
      <c r="B565" s="2">
        <v>45606</v>
      </c>
      <c r="C565" s="2" t="str">
        <f>TEXT(E_Commerce_data[[#This Row],[order_date]],"MMM")</f>
        <v>Nov</v>
      </c>
      <c r="D565" s="1" t="s">
        <v>132</v>
      </c>
      <c r="E565" s="1" t="s">
        <v>133</v>
      </c>
      <c r="F565" s="1" t="s">
        <v>76</v>
      </c>
      <c r="G565" s="1" t="s">
        <v>32</v>
      </c>
      <c r="H565" s="2">
        <v>45359</v>
      </c>
      <c r="I565" s="1" t="s">
        <v>633</v>
      </c>
      <c r="J565" s="1" t="s">
        <v>634</v>
      </c>
      <c r="K565" s="1" t="s">
        <v>560</v>
      </c>
      <c r="L565" s="1">
        <v>3596.1</v>
      </c>
      <c r="M565" s="1">
        <v>1</v>
      </c>
      <c r="N565" s="1">
        <v>0.15</v>
      </c>
      <c r="O565" s="1">
        <v>3056.68</v>
      </c>
      <c r="P565" s="1">
        <v>261.25</v>
      </c>
    </row>
    <row r="566" spans="1:16" x14ac:dyDescent="0.3">
      <c r="A566" s="1" t="s">
        <v>380</v>
      </c>
      <c r="B566" s="2">
        <v>46012</v>
      </c>
      <c r="C566" s="2" t="str">
        <f>TEXT(E_Commerce_data[[#This Row],[order_date]],"MMM")</f>
        <v>Dec</v>
      </c>
      <c r="D566" s="1" t="s">
        <v>96</v>
      </c>
      <c r="E566" s="1" t="s">
        <v>97</v>
      </c>
      <c r="F566" s="1" t="s">
        <v>18</v>
      </c>
      <c r="G566" s="1" t="s">
        <v>19</v>
      </c>
      <c r="H566" s="2">
        <v>45094</v>
      </c>
      <c r="I566" s="1" t="s">
        <v>315</v>
      </c>
      <c r="J566" s="1" t="s">
        <v>316</v>
      </c>
      <c r="K566" s="1" t="s">
        <v>22</v>
      </c>
      <c r="L566" s="1">
        <v>16937.37</v>
      </c>
      <c r="M566" s="1">
        <v>2</v>
      </c>
      <c r="N566" s="1">
        <v>0.05</v>
      </c>
      <c r="O566" s="1">
        <v>32181</v>
      </c>
      <c r="P566" s="1">
        <v>8232.61</v>
      </c>
    </row>
    <row r="567" spans="1:16" x14ac:dyDescent="0.3">
      <c r="A567" s="1" t="s">
        <v>1213</v>
      </c>
      <c r="B567" s="2">
        <v>45594</v>
      </c>
      <c r="C567" s="2" t="str">
        <f>TEXT(E_Commerce_data[[#This Row],[order_date]],"MMM")</f>
        <v>Oct</v>
      </c>
      <c r="D567" s="1" t="s">
        <v>354</v>
      </c>
      <c r="E567" s="1" t="s">
        <v>355</v>
      </c>
      <c r="F567" s="1" t="s">
        <v>26</v>
      </c>
      <c r="G567" s="1" t="s">
        <v>27</v>
      </c>
      <c r="H567" s="2">
        <v>45582</v>
      </c>
      <c r="I567" s="1" t="s">
        <v>1162</v>
      </c>
      <c r="J567" s="1" t="s">
        <v>1163</v>
      </c>
      <c r="K567" s="1" t="s">
        <v>902</v>
      </c>
      <c r="L567" s="1">
        <v>10751.13</v>
      </c>
      <c r="M567" s="1">
        <v>3</v>
      </c>
      <c r="N567" s="1">
        <v>0.15</v>
      </c>
      <c r="O567" s="1">
        <v>27415.38</v>
      </c>
      <c r="P567" s="1">
        <v>2336.4699999999998</v>
      </c>
    </row>
    <row r="568" spans="1:16" x14ac:dyDescent="0.3">
      <c r="A568" s="1" t="s">
        <v>536</v>
      </c>
      <c r="B568" s="2">
        <v>45428</v>
      </c>
      <c r="C568" s="2" t="str">
        <f>TEXT(E_Commerce_data[[#This Row],[order_date]],"MMM")</f>
        <v>May</v>
      </c>
      <c r="D568" s="1" t="s">
        <v>85</v>
      </c>
      <c r="E568" s="1" t="s">
        <v>86</v>
      </c>
      <c r="F568" s="1" t="s">
        <v>36</v>
      </c>
      <c r="G568" s="1" t="s">
        <v>32</v>
      </c>
      <c r="H568" s="2">
        <v>44957</v>
      </c>
      <c r="I568" s="1" t="s">
        <v>489</v>
      </c>
      <c r="J568" s="1" t="s">
        <v>490</v>
      </c>
      <c r="K568" s="1" t="s">
        <v>22</v>
      </c>
      <c r="L568" s="1">
        <v>11544.23</v>
      </c>
      <c r="M568" s="1">
        <v>3</v>
      </c>
      <c r="N568" s="1">
        <v>0.1</v>
      </c>
      <c r="O568" s="1">
        <v>31169.42</v>
      </c>
      <c r="P568" s="1">
        <v>3623.59</v>
      </c>
    </row>
    <row r="569" spans="1:16" x14ac:dyDescent="0.3">
      <c r="A569" s="1" t="s">
        <v>457</v>
      </c>
      <c r="B569" s="2">
        <v>45912</v>
      </c>
      <c r="C569" s="2" t="str">
        <f>TEXT(E_Commerce_data[[#This Row],[order_date]],"MMM")</f>
        <v>Sep</v>
      </c>
      <c r="D569" s="1" t="s">
        <v>112</v>
      </c>
      <c r="E569" s="1" t="s">
        <v>113</v>
      </c>
      <c r="F569" s="1" t="s">
        <v>55</v>
      </c>
      <c r="G569" s="1" t="s">
        <v>27</v>
      </c>
      <c r="H569" s="2">
        <v>45602</v>
      </c>
      <c r="I569" s="1" t="s">
        <v>420</v>
      </c>
      <c r="J569" s="1" t="s">
        <v>421</v>
      </c>
      <c r="K569" s="1" t="s">
        <v>22</v>
      </c>
      <c r="L569" s="1">
        <v>29436.02</v>
      </c>
      <c r="M569" s="1">
        <v>4</v>
      </c>
      <c r="N569" s="1">
        <v>0</v>
      </c>
      <c r="O569" s="1">
        <v>117744.08</v>
      </c>
      <c r="P569" s="1">
        <v>21958.52</v>
      </c>
    </row>
    <row r="570" spans="1:16" x14ac:dyDescent="0.3">
      <c r="A570" s="1" t="s">
        <v>1071</v>
      </c>
      <c r="B570" s="2">
        <v>45774</v>
      </c>
      <c r="C570" s="2" t="str">
        <f>TEXT(E_Commerce_data[[#This Row],[order_date]],"MMM")</f>
        <v>Apr</v>
      </c>
      <c r="D570" s="1" t="s">
        <v>199</v>
      </c>
      <c r="E570" s="1" t="s">
        <v>200</v>
      </c>
      <c r="F570" s="1" t="s">
        <v>36</v>
      </c>
      <c r="G570" s="1" t="s">
        <v>32</v>
      </c>
      <c r="H570" s="2">
        <v>45196</v>
      </c>
      <c r="I570" s="1" t="s">
        <v>1034</v>
      </c>
      <c r="J570" s="1" t="s">
        <v>1035</v>
      </c>
      <c r="K570" s="1" t="s">
        <v>902</v>
      </c>
      <c r="L570" s="1">
        <v>11938.33</v>
      </c>
      <c r="M570" s="1">
        <v>3</v>
      </c>
      <c r="N570" s="1">
        <v>0.05</v>
      </c>
      <c r="O570" s="1">
        <v>34024.239999999998</v>
      </c>
      <c r="P570" s="1">
        <v>8866.11</v>
      </c>
    </row>
    <row r="571" spans="1:16" x14ac:dyDescent="0.3">
      <c r="A571" s="1" t="s">
        <v>1134</v>
      </c>
      <c r="B571" s="2">
        <v>45515</v>
      </c>
      <c r="C571" s="2" t="str">
        <f>TEXT(E_Commerce_data[[#This Row],[order_date]],"MMM")</f>
        <v>Aug</v>
      </c>
      <c r="D571" s="1" t="s">
        <v>361</v>
      </c>
      <c r="E571" s="1" t="s">
        <v>362</v>
      </c>
      <c r="F571" s="1" t="s">
        <v>93</v>
      </c>
      <c r="G571" s="1" t="s">
        <v>27</v>
      </c>
      <c r="H571" s="2">
        <v>45227</v>
      </c>
      <c r="I571" s="1" t="s">
        <v>1102</v>
      </c>
      <c r="J571" s="1" t="s">
        <v>1103</v>
      </c>
      <c r="K571" s="1" t="s">
        <v>902</v>
      </c>
      <c r="L571" s="1">
        <v>33465.440000000002</v>
      </c>
      <c r="M571" s="1">
        <v>5</v>
      </c>
      <c r="N571" s="1">
        <v>0.2</v>
      </c>
      <c r="O571" s="1">
        <v>133861.76000000001</v>
      </c>
      <c r="P571" s="1">
        <v>33362.14</v>
      </c>
    </row>
    <row r="572" spans="1:16" x14ac:dyDescent="0.3">
      <c r="A572" s="1" t="s">
        <v>735</v>
      </c>
      <c r="B572" s="2">
        <v>45375</v>
      </c>
      <c r="C572" s="2" t="str">
        <f>TEXT(E_Commerce_data[[#This Row],[order_date]],"MMM")</f>
        <v>Mar</v>
      </c>
      <c r="D572" s="1" t="s">
        <v>449</v>
      </c>
      <c r="E572" s="1" t="s">
        <v>450</v>
      </c>
      <c r="F572" s="1" t="s">
        <v>93</v>
      </c>
      <c r="G572" s="1" t="s">
        <v>27</v>
      </c>
      <c r="H572" s="2">
        <v>45035</v>
      </c>
      <c r="I572" s="1" t="s">
        <v>706</v>
      </c>
      <c r="J572" s="1" t="s">
        <v>707</v>
      </c>
      <c r="K572" s="1" t="s">
        <v>560</v>
      </c>
      <c r="L572" s="1">
        <v>31573.59</v>
      </c>
      <c r="M572" s="1">
        <v>2</v>
      </c>
      <c r="N572" s="1">
        <v>0.15</v>
      </c>
      <c r="O572" s="1">
        <v>53675.1</v>
      </c>
      <c r="P572" s="1">
        <v>14836.97</v>
      </c>
    </row>
    <row r="573" spans="1:16" x14ac:dyDescent="0.3">
      <c r="A573" s="1" t="s">
        <v>282</v>
      </c>
      <c r="B573" s="2">
        <v>45662</v>
      </c>
      <c r="C573" s="2" t="str">
        <f>TEXT(E_Commerce_data[[#This Row],[order_date]],"MMM")</f>
        <v>Jan</v>
      </c>
      <c r="D573" s="1" t="s">
        <v>88</v>
      </c>
      <c r="E573" s="1" t="s">
        <v>89</v>
      </c>
      <c r="F573" s="1" t="s">
        <v>18</v>
      </c>
      <c r="G573" s="1" t="s">
        <v>19</v>
      </c>
      <c r="H573" s="2">
        <v>45083</v>
      </c>
      <c r="I573" s="1" t="s">
        <v>215</v>
      </c>
      <c r="J573" s="1" t="s">
        <v>216</v>
      </c>
      <c r="K573" s="1" t="s">
        <v>22</v>
      </c>
      <c r="L573" s="1">
        <v>11273.63</v>
      </c>
      <c r="M573" s="1">
        <v>5</v>
      </c>
      <c r="N573" s="1">
        <v>0.05</v>
      </c>
      <c r="O573" s="1">
        <v>53549.74</v>
      </c>
      <c r="P573" s="1">
        <v>11162.55</v>
      </c>
    </row>
    <row r="574" spans="1:16" x14ac:dyDescent="0.3">
      <c r="A574" s="1" t="s">
        <v>672</v>
      </c>
      <c r="B574" s="2">
        <v>45852</v>
      </c>
      <c r="C574" s="2" t="str">
        <f>TEXT(E_Commerce_data[[#This Row],[order_date]],"MMM")</f>
        <v>Jul</v>
      </c>
      <c r="D574" s="1" t="s">
        <v>361</v>
      </c>
      <c r="E574" s="1" t="s">
        <v>362</v>
      </c>
      <c r="F574" s="1" t="s">
        <v>93</v>
      </c>
      <c r="G574" s="1" t="s">
        <v>27</v>
      </c>
      <c r="H574" s="2">
        <v>45227</v>
      </c>
      <c r="I574" s="1" t="s">
        <v>633</v>
      </c>
      <c r="J574" s="1" t="s">
        <v>634</v>
      </c>
      <c r="K574" s="1" t="s">
        <v>560</v>
      </c>
      <c r="L574" s="1">
        <v>3596.1</v>
      </c>
      <c r="M574" s="1">
        <v>1</v>
      </c>
      <c r="N574" s="1">
        <v>0.1</v>
      </c>
      <c r="O574" s="1">
        <v>3236.49</v>
      </c>
      <c r="P574" s="1">
        <v>270.77</v>
      </c>
    </row>
    <row r="575" spans="1:16" x14ac:dyDescent="0.3">
      <c r="A575" s="1" t="s">
        <v>604</v>
      </c>
      <c r="B575" s="2">
        <v>45445</v>
      </c>
      <c r="C575" s="2" t="str">
        <f>TEXT(E_Commerce_data[[#This Row],[order_date]],"MMM")</f>
        <v>Jun</v>
      </c>
      <c r="D575" s="1" t="s">
        <v>243</v>
      </c>
      <c r="E575" s="1" t="s">
        <v>244</v>
      </c>
      <c r="F575" s="1" t="s">
        <v>18</v>
      </c>
      <c r="G575" s="1" t="s">
        <v>19</v>
      </c>
      <c r="H575" s="2">
        <v>45223</v>
      </c>
      <c r="I575" s="1" t="s">
        <v>558</v>
      </c>
      <c r="J575" s="1" t="s">
        <v>559</v>
      </c>
      <c r="K575" s="1" t="s">
        <v>560</v>
      </c>
      <c r="L575" s="1">
        <v>11049.86</v>
      </c>
      <c r="M575" s="1">
        <v>5</v>
      </c>
      <c r="N575" s="1">
        <v>0</v>
      </c>
      <c r="O575" s="1">
        <v>55249.3</v>
      </c>
      <c r="P575" s="1">
        <v>12254.87</v>
      </c>
    </row>
    <row r="576" spans="1:16" x14ac:dyDescent="0.3">
      <c r="A576" s="1" t="s">
        <v>935</v>
      </c>
      <c r="B576" s="2">
        <v>45744</v>
      </c>
      <c r="C576" s="2" t="str">
        <f>TEXT(E_Commerce_data[[#This Row],[order_date]],"MMM")</f>
        <v>Mar</v>
      </c>
      <c r="D576" s="1" t="s">
        <v>341</v>
      </c>
      <c r="E576" s="1" t="s">
        <v>342</v>
      </c>
      <c r="F576" s="1" t="s">
        <v>93</v>
      </c>
      <c r="G576" s="1" t="s">
        <v>27</v>
      </c>
      <c r="H576" s="2">
        <v>45633</v>
      </c>
      <c r="I576" s="1" t="s">
        <v>900</v>
      </c>
      <c r="J576" s="1" t="s">
        <v>901</v>
      </c>
      <c r="K576" s="1" t="s">
        <v>902</v>
      </c>
      <c r="L576" s="1">
        <v>42988.79</v>
      </c>
      <c r="M576" s="1">
        <v>2</v>
      </c>
      <c r="N576" s="1">
        <v>0</v>
      </c>
      <c r="O576" s="1">
        <v>85977.58</v>
      </c>
      <c r="P576" s="1">
        <v>26338.87</v>
      </c>
    </row>
    <row r="577" spans="1:16" x14ac:dyDescent="0.3">
      <c r="A577" s="1" t="s">
        <v>1135</v>
      </c>
      <c r="B577" s="2">
        <v>45889</v>
      </c>
      <c r="C577" s="2" t="str">
        <f>TEXT(E_Commerce_data[[#This Row],[order_date]],"MMM")</f>
        <v>Aug</v>
      </c>
      <c r="D577" s="1" t="s">
        <v>29</v>
      </c>
      <c r="E577" s="1" t="s">
        <v>30</v>
      </c>
      <c r="F577" s="1" t="s">
        <v>31</v>
      </c>
      <c r="G577" s="1" t="s">
        <v>32</v>
      </c>
      <c r="H577" s="2">
        <v>45537</v>
      </c>
      <c r="I577" s="1" t="s">
        <v>1102</v>
      </c>
      <c r="J577" s="1" t="s">
        <v>1103</v>
      </c>
      <c r="K577" s="1" t="s">
        <v>902</v>
      </c>
      <c r="L577" s="1">
        <v>33465.440000000002</v>
      </c>
      <c r="M577" s="1">
        <v>1</v>
      </c>
      <c r="N577" s="1">
        <v>0.15</v>
      </c>
      <c r="O577" s="1">
        <v>28445.62</v>
      </c>
      <c r="P577" s="1">
        <v>3175.11</v>
      </c>
    </row>
    <row r="578" spans="1:16" x14ac:dyDescent="0.3">
      <c r="A578" s="1" t="s">
        <v>673</v>
      </c>
      <c r="B578" s="2">
        <v>45748</v>
      </c>
      <c r="C578" s="2" t="str">
        <f>TEXT(E_Commerce_data[[#This Row],[order_date]],"MMM")</f>
        <v>Apr</v>
      </c>
      <c r="D578" s="1" t="s">
        <v>444</v>
      </c>
      <c r="E578" s="1" t="s">
        <v>445</v>
      </c>
      <c r="F578" s="1" t="s">
        <v>76</v>
      </c>
      <c r="G578" s="1" t="s">
        <v>32</v>
      </c>
      <c r="H578" s="2">
        <v>45123</v>
      </c>
      <c r="I578" s="1" t="s">
        <v>633</v>
      </c>
      <c r="J578" s="1" t="s">
        <v>634</v>
      </c>
      <c r="K578" s="1" t="s">
        <v>560</v>
      </c>
      <c r="L578" s="1">
        <v>3596.1</v>
      </c>
      <c r="M578" s="1">
        <v>4</v>
      </c>
      <c r="N578" s="1">
        <v>0</v>
      </c>
      <c r="O578" s="1">
        <v>14384.4</v>
      </c>
      <c r="P578" s="1">
        <v>4598.22</v>
      </c>
    </row>
    <row r="579" spans="1:16" x14ac:dyDescent="0.3">
      <c r="A579" s="1" t="s">
        <v>1072</v>
      </c>
      <c r="B579" s="2">
        <v>45717</v>
      </c>
      <c r="C579" s="2" t="str">
        <f>TEXT(E_Commerce_data[[#This Row],[order_date]],"MMM")</f>
        <v>Mar</v>
      </c>
      <c r="D579" s="1" t="s">
        <v>495</v>
      </c>
      <c r="E579" s="1" t="s">
        <v>496</v>
      </c>
      <c r="F579" s="1" t="s">
        <v>36</v>
      </c>
      <c r="G579" s="1" t="s">
        <v>32</v>
      </c>
      <c r="H579" s="2">
        <v>45623</v>
      </c>
      <c r="I579" s="1" t="s">
        <v>1034</v>
      </c>
      <c r="J579" s="1" t="s">
        <v>1035</v>
      </c>
      <c r="K579" s="1" t="s">
        <v>902</v>
      </c>
      <c r="L579" s="1">
        <v>11938.33</v>
      </c>
      <c r="M579" s="1">
        <v>1</v>
      </c>
      <c r="N579" s="1">
        <v>0.05</v>
      </c>
      <c r="O579" s="1">
        <v>11341.41</v>
      </c>
      <c r="P579" s="1">
        <v>1016</v>
      </c>
    </row>
    <row r="580" spans="1:16" x14ac:dyDescent="0.3">
      <c r="A580" s="1" t="s">
        <v>144</v>
      </c>
      <c r="B580" s="2">
        <v>45765</v>
      </c>
      <c r="C580" s="2" t="str">
        <f>TEXT(E_Commerce_data[[#This Row],[order_date]],"MMM")</f>
        <v>Apr</v>
      </c>
      <c r="D580" s="1" t="s">
        <v>115</v>
      </c>
      <c r="E580" s="1" t="s">
        <v>116</v>
      </c>
      <c r="F580" s="1" t="s">
        <v>93</v>
      </c>
      <c r="G580" s="1" t="s">
        <v>27</v>
      </c>
      <c r="H580" s="2">
        <v>45196</v>
      </c>
      <c r="I580" s="1" t="s">
        <v>20</v>
      </c>
      <c r="J580" s="1" t="s">
        <v>21</v>
      </c>
      <c r="K580" s="1" t="s">
        <v>22</v>
      </c>
      <c r="L580" s="1">
        <v>6094.16</v>
      </c>
      <c r="M580" s="1">
        <v>4</v>
      </c>
      <c r="N580" s="1">
        <v>0.1</v>
      </c>
      <c r="O580" s="1">
        <v>21938.98</v>
      </c>
      <c r="P580" s="1">
        <v>1476.95</v>
      </c>
    </row>
    <row r="581" spans="1:16" x14ac:dyDescent="0.3">
      <c r="A581" s="1" t="s">
        <v>796</v>
      </c>
      <c r="B581" s="2">
        <v>45552</v>
      </c>
      <c r="C581" s="2" t="str">
        <f>TEXT(E_Commerce_data[[#This Row],[order_date]],"MMM")</f>
        <v>Sep</v>
      </c>
      <c r="D581" s="1" t="s">
        <v>573</v>
      </c>
      <c r="E581" s="1" t="s">
        <v>574</v>
      </c>
      <c r="F581" s="1" t="s">
        <v>36</v>
      </c>
      <c r="G581" s="1" t="s">
        <v>32</v>
      </c>
      <c r="H581" s="2">
        <v>45540</v>
      </c>
      <c r="I581" s="1" t="s">
        <v>763</v>
      </c>
      <c r="J581" s="1" t="s">
        <v>764</v>
      </c>
      <c r="K581" s="1" t="s">
        <v>560</v>
      </c>
      <c r="L581" s="1">
        <v>11485.64</v>
      </c>
      <c r="M581" s="1">
        <v>3</v>
      </c>
      <c r="N581" s="1">
        <v>0.15</v>
      </c>
      <c r="O581" s="1">
        <v>29288.38</v>
      </c>
      <c r="P581" s="1">
        <v>1655.71</v>
      </c>
    </row>
    <row r="582" spans="1:16" x14ac:dyDescent="0.3">
      <c r="A582" s="1" t="s">
        <v>283</v>
      </c>
      <c r="B582" s="2">
        <v>45366</v>
      </c>
      <c r="C582" s="2" t="str">
        <f>TEXT(E_Commerce_data[[#This Row],[order_date]],"MMM")</f>
        <v>Mar</v>
      </c>
      <c r="D582" s="1" t="s">
        <v>284</v>
      </c>
      <c r="E582" s="1" t="s">
        <v>285</v>
      </c>
      <c r="F582" s="1" t="s">
        <v>47</v>
      </c>
      <c r="G582" s="1" t="s">
        <v>48</v>
      </c>
      <c r="H582" s="2">
        <v>45427</v>
      </c>
      <c r="I582" s="1" t="s">
        <v>215</v>
      </c>
      <c r="J582" s="1" t="s">
        <v>216</v>
      </c>
      <c r="K582" s="1" t="s">
        <v>22</v>
      </c>
      <c r="L582" s="1">
        <v>11273.63</v>
      </c>
      <c r="M582" s="1">
        <v>1</v>
      </c>
      <c r="N582" s="1">
        <v>0.15</v>
      </c>
      <c r="O582" s="1">
        <v>9582.59</v>
      </c>
      <c r="P582" s="1">
        <v>1105.55</v>
      </c>
    </row>
    <row r="583" spans="1:16" x14ac:dyDescent="0.3">
      <c r="A583" s="1" t="s">
        <v>458</v>
      </c>
      <c r="B583" s="2">
        <v>45357</v>
      </c>
      <c r="C583" s="2" t="str">
        <f>TEXT(E_Commerce_data[[#This Row],[order_date]],"MMM")</f>
        <v>Mar</v>
      </c>
      <c r="D583" s="1" t="s">
        <v>218</v>
      </c>
      <c r="E583" s="1" t="s">
        <v>219</v>
      </c>
      <c r="F583" s="1" t="s">
        <v>47</v>
      </c>
      <c r="G583" s="1" t="s">
        <v>48</v>
      </c>
      <c r="H583" s="2">
        <v>45241</v>
      </c>
      <c r="I583" s="1" t="s">
        <v>420</v>
      </c>
      <c r="J583" s="1" t="s">
        <v>421</v>
      </c>
      <c r="K583" s="1" t="s">
        <v>22</v>
      </c>
      <c r="L583" s="1">
        <v>29436.02</v>
      </c>
      <c r="M583" s="1">
        <v>1</v>
      </c>
      <c r="N583" s="1">
        <v>0.05</v>
      </c>
      <c r="O583" s="1">
        <v>27964.22</v>
      </c>
      <c r="P583" s="1">
        <v>4288.5600000000004</v>
      </c>
    </row>
    <row r="584" spans="1:16" x14ac:dyDescent="0.3">
      <c r="A584" s="1" t="s">
        <v>797</v>
      </c>
      <c r="B584" s="2">
        <v>45362</v>
      </c>
      <c r="C584" s="2" t="str">
        <f>TEXT(E_Commerce_data[[#This Row],[order_date]],"MMM")</f>
        <v>Mar</v>
      </c>
      <c r="D584" s="1" t="s">
        <v>34</v>
      </c>
      <c r="E584" s="1" t="s">
        <v>35</v>
      </c>
      <c r="F584" s="1" t="s">
        <v>36</v>
      </c>
      <c r="G584" s="1" t="s">
        <v>32</v>
      </c>
      <c r="H584" s="2">
        <v>45041</v>
      </c>
      <c r="I584" s="1" t="s">
        <v>763</v>
      </c>
      <c r="J584" s="1" t="s">
        <v>764</v>
      </c>
      <c r="K584" s="1" t="s">
        <v>560</v>
      </c>
      <c r="L584" s="1">
        <v>11485.64</v>
      </c>
      <c r="M584" s="1">
        <v>5</v>
      </c>
      <c r="N584" s="1">
        <v>0</v>
      </c>
      <c r="O584" s="1">
        <v>57428.2</v>
      </c>
      <c r="P584" s="1">
        <v>18972.830000000002</v>
      </c>
    </row>
    <row r="585" spans="1:16" x14ac:dyDescent="0.3">
      <c r="A585" s="1" t="s">
        <v>936</v>
      </c>
      <c r="B585" s="2">
        <v>45476</v>
      </c>
      <c r="C585" s="2" t="str">
        <f>TEXT(E_Commerce_data[[#This Row],[order_date]],"MMM")</f>
        <v>Jul</v>
      </c>
      <c r="D585" s="1" t="s">
        <v>218</v>
      </c>
      <c r="E585" s="1" t="s">
        <v>219</v>
      </c>
      <c r="F585" s="1" t="s">
        <v>47</v>
      </c>
      <c r="G585" s="1" t="s">
        <v>48</v>
      </c>
      <c r="H585" s="2">
        <v>45241</v>
      </c>
      <c r="I585" s="1" t="s">
        <v>900</v>
      </c>
      <c r="J585" s="1" t="s">
        <v>901</v>
      </c>
      <c r="K585" s="1" t="s">
        <v>902</v>
      </c>
      <c r="L585" s="1">
        <v>42988.79</v>
      </c>
      <c r="M585" s="1">
        <v>4</v>
      </c>
      <c r="N585" s="1">
        <v>0</v>
      </c>
      <c r="O585" s="1">
        <v>171955.16</v>
      </c>
      <c r="P585" s="1">
        <v>23407.78</v>
      </c>
    </row>
    <row r="586" spans="1:16" x14ac:dyDescent="0.3">
      <c r="A586" s="1" t="s">
        <v>937</v>
      </c>
      <c r="B586" s="2">
        <v>45953</v>
      </c>
      <c r="C586" s="2" t="str">
        <f>TEXT(E_Commerce_data[[#This Row],[order_date]],"MMM")</f>
        <v>Oct</v>
      </c>
      <c r="D586" s="1" t="s">
        <v>424</v>
      </c>
      <c r="E586" s="1" t="s">
        <v>425</v>
      </c>
      <c r="F586" s="1" t="s">
        <v>43</v>
      </c>
      <c r="G586" s="1" t="s">
        <v>32</v>
      </c>
      <c r="H586" s="2">
        <v>45489</v>
      </c>
      <c r="I586" s="1" t="s">
        <v>900</v>
      </c>
      <c r="J586" s="1" t="s">
        <v>901</v>
      </c>
      <c r="K586" s="1" t="s">
        <v>902</v>
      </c>
      <c r="L586" s="1">
        <v>42988.79</v>
      </c>
      <c r="M586" s="1">
        <v>2</v>
      </c>
      <c r="N586" s="1">
        <v>0.2</v>
      </c>
      <c r="O586" s="1">
        <v>68782.06</v>
      </c>
      <c r="P586" s="1">
        <v>16676.73</v>
      </c>
    </row>
    <row r="587" spans="1:16" x14ac:dyDescent="0.3">
      <c r="A587" s="1" t="s">
        <v>381</v>
      </c>
      <c r="B587" s="2">
        <v>45683</v>
      </c>
      <c r="C587" s="2" t="str">
        <f>TEXT(E_Commerce_data[[#This Row],[order_date]],"MMM")</f>
        <v>Jan</v>
      </c>
      <c r="D587" s="1" t="s">
        <v>212</v>
      </c>
      <c r="E587" s="1" t="s">
        <v>213</v>
      </c>
      <c r="F587" s="1" t="s">
        <v>18</v>
      </c>
      <c r="G587" s="1" t="s">
        <v>19</v>
      </c>
      <c r="H587" s="2">
        <v>45613</v>
      </c>
      <c r="I587" s="1" t="s">
        <v>315</v>
      </c>
      <c r="J587" s="1" t="s">
        <v>316</v>
      </c>
      <c r="K587" s="1" t="s">
        <v>22</v>
      </c>
      <c r="L587" s="1">
        <v>16937.37</v>
      </c>
      <c r="M587" s="1">
        <v>4</v>
      </c>
      <c r="N587" s="1">
        <v>0</v>
      </c>
      <c r="O587" s="1">
        <v>67749.48</v>
      </c>
      <c r="P587" s="1">
        <v>23567.13</v>
      </c>
    </row>
    <row r="588" spans="1:16" x14ac:dyDescent="0.3">
      <c r="A588" s="1" t="s">
        <v>798</v>
      </c>
      <c r="B588" s="2">
        <v>45678</v>
      </c>
      <c r="C588" s="2" t="str">
        <f>TEXT(E_Commerce_data[[#This Row],[order_date]],"MMM")</f>
        <v>Jan</v>
      </c>
      <c r="D588" s="1" t="s">
        <v>203</v>
      </c>
      <c r="E588" s="1" t="s">
        <v>204</v>
      </c>
      <c r="F588" s="1" t="s">
        <v>76</v>
      </c>
      <c r="G588" s="1" t="s">
        <v>32</v>
      </c>
      <c r="H588" s="2">
        <v>45297</v>
      </c>
      <c r="I588" s="1" t="s">
        <v>763</v>
      </c>
      <c r="J588" s="1" t="s">
        <v>764</v>
      </c>
      <c r="K588" s="1" t="s">
        <v>560</v>
      </c>
      <c r="L588" s="1">
        <v>11485.64</v>
      </c>
      <c r="M588" s="1">
        <v>4</v>
      </c>
      <c r="N588" s="1">
        <v>0.2</v>
      </c>
      <c r="O588" s="1">
        <v>36754.050000000003</v>
      </c>
      <c r="P588" s="1">
        <v>11950.01</v>
      </c>
    </row>
    <row r="589" spans="1:16" x14ac:dyDescent="0.3">
      <c r="A589" s="1" t="s">
        <v>1136</v>
      </c>
      <c r="B589" s="2">
        <v>45969</v>
      </c>
      <c r="C589" s="2" t="str">
        <f>TEXT(E_Commerce_data[[#This Row],[order_date]],"MMM")</f>
        <v>Nov</v>
      </c>
      <c r="D589" s="1" t="s">
        <v>115</v>
      </c>
      <c r="E589" s="1" t="s">
        <v>116</v>
      </c>
      <c r="F589" s="1" t="s">
        <v>93</v>
      </c>
      <c r="G589" s="1" t="s">
        <v>27</v>
      </c>
      <c r="H589" s="2">
        <v>45196</v>
      </c>
      <c r="I589" s="1" t="s">
        <v>1102</v>
      </c>
      <c r="J589" s="1" t="s">
        <v>1103</v>
      </c>
      <c r="K589" s="1" t="s">
        <v>902</v>
      </c>
      <c r="L589" s="1">
        <v>33465.440000000002</v>
      </c>
      <c r="M589" s="1">
        <v>4</v>
      </c>
      <c r="N589" s="1">
        <v>0</v>
      </c>
      <c r="O589" s="1">
        <v>133861.76000000001</v>
      </c>
      <c r="P589" s="1">
        <v>34110.53</v>
      </c>
    </row>
    <row r="590" spans="1:16" x14ac:dyDescent="0.3">
      <c r="A590" s="1" t="s">
        <v>382</v>
      </c>
      <c r="B590" s="2">
        <v>45648</v>
      </c>
      <c r="C590" s="2" t="str">
        <f>TEXT(E_Commerce_data[[#This Row],[order_date]],"MMM")</f>
        <v>Dec</v>
      </c>
      <c r="D590" s="1" t="s">
        <v>109</v>
      </c>
      <c r="E590" s="1" t="s">
        <v>110</v>
      </c>
      <c r="F590" s="1" t="s">
        <v>31</v>
      </c>
      <c r="G590" s="1" t="s">
        <v>32</v>
      </c>
      <c r="H590" s="2">
        <v>45026</v>
      </c>
      <c r="I590" s="1" t="s">
        <v>315</v>
      </c>
      <c r="J590" s="1" t="s">
        <v>316</v>
      </c>
      <c r="K590" s="1" t="s">
        <v>22</v>
      </c>
      <c r="L590" s="1">
        <v>16937.37</v>
      </c>
      <c r="M590" s="1">
        <v>5</v>
      </c>
      <c r="N590" s="1">
        <v>0</v>
      </c>
      <c r="O590" s="1">
        <v>84686.85</v>
      </c>
      <c r="P590" s="1">
        <v>20838.07</v>
      </c>
    </row>
    <row r="591" spans="1:16" x14ac:dyDescent="0.3">
      <c r="A591" s="1" t="s">
        <v>1214</v>
      </c>
      <c r="B591" s="2">
        <v>45694</v>
      </c>
      <c r="C591" s="2" t="str">
        <f>TEXT(E_Commerce_data[[#This Row],[order_date]],"MMM")</f>
        <v>Feb</v>
      </c>
      <c r="D591" s="1" t="s">
        <v>109</v>
      </c>
      <c r="E591" s="1" t="s">
        <v>110</v>
      </c>
      <c r="F591" s="1" t="s">
        <v>31</v>
      </c>
      <c r="G591" s="1" t="s">
        <v>32</v>
      </c>
      <c r="H591" s="2">
        <v>45026</v>
      </c>
      <c r="I591" s="1" t="s">
        <v>1162</v>
      </c>
      <c r="J591" s="1" t="s">
        <v>1163</v>
      </c>
      <c r="K591" s="1" t="s">
        <v>902</v>
      </c>
      <c r="L591" s="1">
        <v>10751.13</v>
      </c>
      <c r="M591" s="1">
        <v>1</v>
      </c>
      <c r="N591" s="1">
        <v>0</v>
      </c>
      <c r="O591" s="1">
        <v>10751.13</v>
      </c>
      <c r="P591" s="1">
        <v>3739.82</v>
      </c>
    </row>
    <row r="592" spans="1:16" x14ac:dyDescent="0.3">
      <c r="A592" s="1" t="s">
        <v>674</v>
      </c>
      <c r="B592" s="2">
        <v>45520</v>
      </c>
      <c r="C592" s="2" t="str">
        <f>TEXT(E_Commerce_data[[#This Row],[order_date]],"MMM")</f>
        <v>Aug</v>
      </c>
      <c r="D592" s="1" t="s">
        <v>259</v>
      </c>
      <c r="E592" s="1" t="s">
        <v>260</v>
      </c>
      <c r="F592" s="1" t="s">
        <v>18</v>
      </c>
      <c r="G592" s="1" t="s">
        <v>19</v>
      </c>
      <c r="H592" s="2">
        <v>45444</v>
      </c>
      <c r="I592" s="1" t="s">
        <v>633</v>
      </c>
      <c r="J592" s="1" t="s">
        <v>634</v>
      </c>
      <c r="K592" s="1" t="s">
        <v>560</v>
      </c>
      <c r="L592" s="1">
        <v>3596.1</v>
      </c>
      <c r="M592" s="1">
        <v>5</v>
      </c>
      <c r="N592" s="1">
        <v>0</v>
      </c>
      <c r="O592" s="1">
        <v>17980.5</v>
      </c>
      <c r="P592" s="1">
        <v>4825.2</v>
      </c>
    </row>
    <row r="593" spans="1:16" x14ac:dyDescent="0.3">
      <c r="A593" s="1" t="s">
        <v>1215</v>
      </c>
      <c r="B593" s="2">
        <v>45597</v>
      </c>
      <c r="C593" s="2" t="str">
        <f>TEXT(E_Commerce_data[[#This Row],[order_date]],"MMM")</f>
        <v>Nov</v>
      </c>
      <c r="D593" s="1" t="s">
        <v>109</v>
      </c>
      <c r="E593" s="1" t="s">
        <v>110</v>
      </c>
      <c r="F593" s="1" t="s">
        <v>31</v>
      </c>
      <c r="G593" s="1" t="s">
        <v>32</v>
      </c>
      <c r="H593" s="2">
        <v>45026</v>
      </c>
      <c r="I593" s="1" t="s">
        <v>1162</v>
      </c>
      <c r="J593" s="1" t="s">
        <v>1163</v>
      </c>
      <c r="K593" s="1" t="s">
        <v>902</v>
      </c>
      <c r="L593" s="1">
        <v>10751.13</v>
      </c>
      <c r="M593" s="1">
        <v>1</v>
      </c>
      <c r="N593" s="1">
        <v>0.2</v>
      </c>
      <c r="O593" s="1">
        <v>8600.9</v>
      </c>
      <c r="P593" s="1">
        <v>488.71</v>
      </c>
    </row>
    <row r="594" spans="1:16" x14ac:dyDescent="0.3">
      <c r="A594" s="1" t="s">
        <v>1216</v>
      </c>
      <c r="B594" s="2">
        <v>45726</v>
      </c>
      <c r="C594" s="2" t="str">
        <f>TEXT(E_Commerce_data[[#This Row],[order_date]],"MMM")</f>
        <v>Mar</v>
      </c>
      <c r="D594" s="1" t="s">
        <v>63</v>
      </c>
      <c r="E594" s="1" t="s">
        <v>64</v>
      </c>
      <c r="F594" s="1" t="s">
        <v>18</v>
      </c>
      <c r="G594" s="1" t="s">
        <v>19</v>
      </c>
      <c r="H594" s="2">
        <v>45501</v>
      </c>
      <c r="I594" s="1" t="s">
        <v>1162</v>
      </c>
      <c r="J594" s="1" t="s">
        <v>1163</v>
      </c>
      <c r="K594" s="1" t="s">
        <v>902</v>
      </c>
      <c r="L594" s="1">
        <v>10751.13</v>
      </c>
      <c r="M594" s="1">
        <v>4</v>
      </c>
      <c r="N594" s="1">
        <v>0.15</v>
      </c>
      <c r="O594" s="1">
        <v>36553.839999999997</v>
      </c>
      <c r="P594" s="1">
        <v>9713.39</v>
      </c>
    </row>
    <row r="595" spans="1:16" x14ac:dyDescent="0.3">
      <c r="A595" s="1" t="s">
        <v>605</v>
      </c>
      <c r="B595" s="2">
        <v>45545</v>
      </c>
      <c r="C595" s="2" t="str">
        <f>TEXT(E_Commerce_data[[#This Row],[order_date]],"MMM")</f>
        <v>Sep</v>
      </c>
      <c r="D595" s="1" t="s">
        <v>243</v>
      </c>
      <c r="E595" s="1" t="s">
        <v>244</v>
      </c>
      <c r="F595" s="1" t="s">
        <v>18</v>
      </c>
      <c r="G595" s="1" t="s">
        <v>19</v>
      </c>
      <c r="H595" s="2">
        <v>45223</v>
      </c>
      <c r="I595" s="1" t="s">
        <v>558</v>
      </c>
      <c r="J595" s="1" t="s">
        <v>559</v>
      </c>
      <c r="K595" s="1" t="s">
        <v>560</v>
      </c>
      <c r="L595" s="1">
        <v>11049.86</v>
      </c>
      <c r="M595" s="1">
        <v>5</v>
      </c>
      <c r="N595" s="1">
        <v>0.05</v>
      </c>
      <c r="O595" s="1">
        <v>52486.84</v>
      </c>
      <c r="P595" s="1">
        <v>15589.02</v>
      </c>
    </row>
    <row r="596" spans="1:16" x14ac:dyDescent="0.3">
      <c r="A596" s="1" t="s">
        <v>286</v>
      </c>
      <c r="B596" s="2">
        <v>45485</v>
      </c>
      <c r="C596" s="2" t="str">
        <f>TEXT(E_Commerce_data[[#This Row],[order_date]],"MMM")</f>
        <v>Jul</v>
      </c>
      <c r="D596" s="1" t="s">
        <v>287</v>
      </c>
      <c r="E596" s="1" t="s">
        <v>288</v>
      </c>
      <c r="F596" s="1" t="s">
        <v>18</v>
      </c>
      <c r="G596" s="1" t="s">
        <v>19</v>
      </c>
      <c r="H596" s="2">
        <v>44959</v>
      </c>
      <c r="I596" s="1" t="s">
        <v>215</v>
      </c>
      <c r="J596" s="1" t="s">
        <v>216</v>
      </c>
      <c r="K596" s="1" t="s">
        <v>22</v>
      </c>
      <c r="L596" s="1">
        <v>11273.63</v>
      </c>
      <c r="M596" s="1">
        <v>4</v>
      </c>
      <c r="N596" s="1">
        <v>0</v>
      </c>
      <c r="O596" s="1">
        <v>45094.52</v>
      </c>
      <c r="P596" s="1">
        <v>4353.26</v>
      </c>
    </row>
    <row r="597" spans="1:16" x14ac:dyDescent="0.3">
      <c r="A597" s="1" t="s">
        <v>938</v>
      </c>
      <c r="B597" s="2">
        <v>45721</v>
      </c>
      <c r="C597" s="2" t="str">
        <f>TEXT(E_Commerce_data[[#This Row],[order_date]],"MMM")</f>
        <v>Mar</v>
      </c>
      <c r="D597" s="1" t="s">
        <v>230</v>
      </c>
      <c r="E597" s="1" t="s">
        <v>231</v>
      </c>
      <c r="F597" s="1" t="s">
        <v>72</v>
      </c>
      <c r="G597" s="1" t="s">
        <v>48</v>
      </c>
      <c r="H597" s="2">
        <v>45550</v>
      </c>
      <c r="I597" s="1" t="s">
        <v>900</v>
      </c>
      <c r="J597" s="1" t="s">
        <v>901</v>
      </c>
      <c r="K597" s="1" t="s">
        <v>902</v>
      </c>
      <c r="L597" s="1">
        <v>42988.79</v>
      </c>
      <c r="M597" s="1">
        <v>1</v>
      </c>
      <c r="N597" s="1">
        <v>0</v>
      </c>
      <c r="O597" s="1">
        <v>42988.79</v>
      </c>
      <c r="P597" s="1">
        <v>12588.99</v>
      </c>
    </row>
    <row r="598" spans="1:16" x14ac:dyDescent="0.3">
      <c r="A598" s="1" t="s">
        <v>289</v>
      </c>
      <c r="B598" s="2">
        <v>45308</v>
      </c>
      <c r="C598" s="2" t="str">
        <f>TEXT(E_Commerce_data[[#This Row],[order_date]],"MMM")</f>
        <v>Jan</v>
      </c>
      <c r="D598" s="1" t="s">
        <v>248</v>
      </c>
      <c r="E598" s="1" t="s">
        <v>249</v>
      </c>
      <c r="F598" s="1" t="s">
        <v>72</v>
      </c>
      <c r="G598" s="1" t="s">
        <v>48</v>
      </c>
      <c r="H598" s="2">
        <v>45619</v>
      </c>
      <c r="I598" s="1" t="s">
        <v>215</v>
      </c>
      <c r="J598" s="1" t="s">
        <v>216</v>
      </c>
      <c r="K598" s="1" t="s">
        <v>22</v>
      </c>
      <c r="L598" s="1">
        <v>11273.63</v>
      </c>
      <c r="M598" s="1">
        <v>5</v>
      </c>
      <c r="N598" s="1">
        <v>0.2</v>
      </c>
      <c r="O598" s="1">
        <v>45094.52</v>
      </c>
      <c r="P598" s="1">
        <v>14920.49</v>
      </c>
    </row>
    <row r="599" spans="1:16" x14ac:dyDescent="0.3">
      <c r="A599" s="1" t="s">
        <v>1217</v>
      </c>
      <c r="B599" s="2">
        <v>45900</v>
      </c>
      <c r="C599" s="2" t="str">
        <f>TEXT(E_Commerce_data[[#This Row],[order_date]],"MMM")</f>
        <v>Aug</v>
      </c>
      <c r="D599" s="1" t="s">
        <v>514</v>
      </c>
      <c r="E599" s="1" t="s">
        <v>515</v>
      </c>
      <c r="F599" s="1" t="s">
        <v>18</v>
      </c>
      <c r="G599" s="1" t="s">
        <v>19</v>
      </c>
      <c r="H599" s="2">
        <v>45386</v>
      </c>
      <c r="I599" s="1" t="s">
        <v>1162</v>
      </c>
      <c r="J599" s="1" t="s">
        <v>1163</v>
      </c>
      <c r="K599" s="1" t="s">
        <v>902</v>
      </c>
      <c r="L599" s="1">
        <v>10751.13</v>
      </c>
      <c r="M599" s="1">
        <v>2</v>
      </c>
      <c r="N599" s="1">
        <v>0</v>
      </c>
      <c r="O599" s="1">
        <v>21502.26</v>
      </c>
      <c r="P599" s="1">
        <v>1509.18</v>
      </c>
    </row>
    <row r="600" spans="1:16" x14ac:dyDescent="0.3">
      <c r="A600" s="1" t="s">
        <v>871</v>
      </c>
      <c r="B600" s="2">
        <v>46012</v>
      </c>
      <c r="C600" s="2" t="str">
        <f>TEXT(E_Commerce_data[[#This Row],[order_date]],"MMM")</f>
        <v>Dec</v>
      </c>
      <c r="D600" s="1" t="s">
        <v>41</v>
      </c>
      <c r="E600" s="1" t="s">
        <v>42</v>
      </c>
      <c r="F600" s="1" t="s">
        <v>43</v>
      </c>
      <c r="G600" s="1" t="s">
        <v>32</v>
      </c>
      <c r="H600" s="2">
        <v>45020</v>
      </c>
      <c r="I600" s="1" t="s">
        <v>822</v>
      </c>
      <c r="J600" s="1" t="s">
        <v>823</v>
      </c>
      <c r="K600" s="1" t="s">
        <v>560</v>
      </c>
      <c r="L600" s="1">
        <v>45275.73</v>
      </c>
      <c r="M600" s="1">
        <v>1</v>
      </c>
      <c r="N600" s="1">
        <v>0.05</v>
      </c>
      <c r="O600" s="1">
        <v>43011.94</v>
      </c>
      <c r="P600" s="1">
        <v>9864.16</v>
      </c>
    </row>
    <row r="601" spans="1:16" x14ac:dyDescent="0.3">
      <c r="A601" s="1" t="s">
        <v>1009</v>
      </c>
      <c r="B601" s="2">
        <v>45703</v>
      </c>
      <c r="C601" s="2" t="str">
        <f>TEXT(E_Commerce_data[[#This Row],[order_date]],"MMM")</f>
        <v>Feb</v>
      </c>
      <c r="D601" s="1" t="s">
        <v>573</v>
      </c>
      <c r="E601" s="1" t="s">
        <v>574</v>
      </c>
      <c r="F601" s="1" t="s">
        <v>36</v>
      </c>
      <c r="G601" s="1" t="s">
        <v>32</v>
      </c>
      <c r="H601" s="2">
        <v>45540</v>
      </c>
      <c r="I601" s="1" t="s">
        <v>964</v>
      </c>
      <c r="J601" s="1" t="s">
        <v>965</v>
      </c>
      <c r="K601" s="1" t="s">
        <v>902</v>
      </c>
      <c r="L601" s="1">
        <v>3589.32</v>
      </c>
      <c r="M601" s="1">
        <v>1</v>
      </c>
      <c r="N601" s="1">
        <v>0</v>
      </c>
      <c r="O601" s="1">
        <v>3589.32</v>
      </c>
      <c r="P601" s="1">
        <v>976.88</v>
      </c>
    </row>
    <row r="602" spans="1:16" x14ac:dyDescent="0.3">
      <c r="A602" s="1" t="s">
        <v>1218</v>
      </c>
      <c r="B602" s="2">
        <v>45349</v>
      </c>
      <c r="C602" s="2" t="str">
        <f>TEXT(E_Commerce_data[[#This Row],[order_date]],"MMM")</f>
        <v>Feb</v>
      </c>
      <c r="D602" s="1" t="s">
        <v>147</v>
      </c>
      <c r="E602" s="1" t="s">
        <v>148</v>
      </c>
      <c r="F602" s="1" t="s">
        <v>36</v>
      </c>
      <c r="G602" s="1" t="s">
        <v>32</v>
      </c>
      <c r="H602" s="2">
        <v>45090</v>
      </c>
      <c r="I602" s="1" t="s">
        <v>1162</v>
      </c>
      <c r="J602" s="1" t="s">
        <v>1163</v>
      </c>
      <c r="K602" s="1" t="s">
        <v>902</v>
      </c>
      <c r="L602" s="1">
        <v>10751.13</v>
      </c>
      <c r="M602" s="1">
        <v>4</v>
      </c>
      <c r="N602" s="1">
        <v>0</v>
      </c>
      <c r="O602" s="1">
        <v>43004.52</v>
      </c>
      <c r="P602" s="1">
        <v>9113.86</v>
      </c>
    </row>
    <row r="603" spans="1:16" x14ac:dyDescent="0.3">
      <c r="A603" s="1" t="s">
        <v>1073</v>
      </c>
      <c r="B603" s="2">
        <v>45531</v>
      </c>
      <c r="C603" s="2" t="str">
        <f>TEXT(E_Commerce_data[[#This Row],[order_date]],"MMM")</f>
        <v>Aug</v>
      </c>
      <c r="D603" s="1" t="s">
        <v>203</v>
      </c>
      <c r="E603" s="1" t="s">
        <v>204</v>
      </c>
      <c r="F603" s="1" t="s">
        <v>76</v>
      </c>
      <c r="G603" s="1" t="s">
        <v>32</v>
      </c>
      <c r="H603" s="2">
        <v>45297</v>
      </c>
      <c r="I603" s="1" t="s">
        <v>1034</v>
      </c>
      <c r="J603" s="1" t="s">
        <v>1035</v>
      </c>
      <c r="K603" s="1" t="s">
        <v>902</v>
      </c>
      <c r="L603" s="1">
        <v>11938.33</v>
      </c>
      <c r="M603" s="1">
        <v>2</v>
      </c>
      <c r="N603" s="1">
        <v>0.1</v>
      </c>
      <c r="O603" s="1">
        <v>21488.99</v>
      </c>
      <c r="P603" s="1">
        <v>7479.14</v>
      </c>
    </row>
    <row r="604" spans="1:16" x14ac:dyDescent="0.3">
      <c r="A604" s="1" t="s">
        <v>537</v>
      </c>
      <c r="B604" s="2">
        <v>45980</v>
      </c>
      <c r="C604" s="2" t="str">
        <f>TEXT(E_Commerce_data[[#This Row],[order_date]],"MMM")</f>
        <v>Nov</v>
      </c>
      <c r="D604" s="1" t="s">
        <v>230</v>
      </c>
      <c r="E604" s="1" t="s">
        <v>231</v>
      </c>
      <c r="F604" s="1" t="s">
        <v>72</v>
      </c>
      <c r="G604" s="1" t="s">
        <v>48</v>
      </c>
      <c r="H604" s="2">
        <v>45550</v>
      </c>
      <c r="I604" s="1" t="s">
        <v>489</v>
      </c>
      <c r="J604" s="1" t="s">
        <v>490</v>
      </c>
      <c r="K604" s="1" t="s">
        <v>22</v>
      </c>
      <c r="L604" s="1">
        <v>11544.23</v>
      </c>
      <c r="M604" s="1">
        <v>5</v>
      </c>
      <c r="N604" s="1">
        <v>0</v>
      </c>
      <c r="O604" s="1">
        <v>57721.15</v>
      </c>
      <c r="P604" s="1">
        <v>12885.81</v>
      </c>
    </row>
    <row r="605" spans="1:16" x14ac:dyDescent="0.3">
      <c r="A605" s="1" t="s">
        <v>1137</v>
      </c>
      <c r="B605" s="2">
        <v>45438</v>
      </c>
      <c r="C605" s="2" t="str">
        <f>TEXT(E_Commerce_data[[#This Row],[order_date]],"MMM")</f>
        <v>May</v>
      </c>
      <c r="D605" s="1" t="s">
        <v>361</v>
      </c>
      <c r="E605" s="1" t="s">
        <v>362</v>
      </c>
      <c r="F605" s="1" t="s">
        <v>93</v>
      </c>
      <c r="G605" s="1" t="s">
        <v>27</v>
      </c>
      <c r="H605" s="2">
        <v>45227</v>
      </c>
      <c r="I605" s="1" t="s">
        <v>1102</v>
      </c>
      <c r="J605" s="1" t="s">
        <v>1103</v>
      </c>
      <c r="K605" s="1" t="s">
        <v>902</v>
      </c>
      <c r="L605" s="1">
        <v>33465.440000000002</v>
      </c>
      <c r="M605" s="1">
        <v>3</v>
      </c>
      <c r="N605" s="1">
        <v>0</v>
      </c>
      <c r="O605" s="1">
        <v>100396.32</v>
      </c>
      <c r="P605" s="1">
        <v>14108.63</v>
      </c>
    </row>
    <row r="606" spans="1:16" x14ac:dyDescent="0.3">
      <c r="A606" s="1" t="s">
        <v>1138</v>
      </c>
      <c r="B606" s="2">
        <v>45573</v>
      </c>
      <c r="C606" s="2" t="str">
        <f>TEXT(E_Commerce_data[[#This Row],[order_date]],"MMM")</f>
        <v>Oct</v>
      </c>
      <c r="D606" s="1" t="s">
        <v>643</v>
      </c>
      <c r="E606" s="1" t="s">
        <v>644</v>
      </c>
      <c r="F606" s="1" t="s">
        <v>93</v>
      </c>
      <c r="G606" s="1" t="s">
        <v>27</v>
      </c>
      <c r="H606" s="2">
        <v>45130</v>
      </c>
      <c r="I606" s="1" t="s">
        <v>1102</v>
      </c>
      <c r="J606" s="1" t="s">
        <v>1103</v>
      </c>
      <c r="K606" s="1" t="s">
        <v>902</v>
      </c>
      <c r="L606" s="1">
        <v>33465.440000000002</v>
      </c>
      <c r="M606" s="1">
        <v>5</v>
      </c>
      <c r="N606" s="1">
        <v>0</v>
      </c>
      <c r="O606" s="1">
        <v>167327.20000000001</v>
      </c>
      <c r="P606" s="1">
        <v>29126.32</v>
      </c>
    </row>
    <row r="607" spans="1:16" x14ac:dyDescent="0.3">
      <c r="A607" s="1" t="s">
        <v>1074</v>
      </c>
      <c r="B607" s="2">
        <v>45471</v>
      </c>
      <c r="C607" s="2" t="str">
        <f>TEXT(E_Commerce_data[[#This Row],[order_date]],"MMM")</f>
        <v>Jun</v>
      </c>
      <c r="D607" s="1" t="s">
        <v>453</v>
      </c>
      <c r="E607" s="1" t="s">
        <v>454</v>
      </c>
      <c r="F607" s="1" t="s">
        <v>31</v>
      </c>
      <c r="G607" s="1" t="s">
        <v>32</v>
      </c>
      <c r="H607" s="2">
        <v>45143</v>
      </c>
      <c r="I607" s="1" t="s">
        <v>1034</v>
      </c>
      <c r="J607" s="1" t="s">
        <v>1035</v>
      </c>
      <c r="K607" s="1" t="s">
        <v>902</v>
      </c>
      <c r="L607" s="1">
        <v>11938.33</v>
      </c>
      <c r="M607" s="1">
        <v>1</v>
      </c>
      <c r="N607" s="1">
        <v>0.1</v>
      </c>
      <c r="O607" s="1">
        <v>10744.5</v>
      </c>
      <c r="P607" s="1">
        <v>3594.64</v>
      </c>
    </row>
    <row r="608" spans="1:16" x14ac:dyDescent="0.3">
      <c r="A608" s="1" t="s">
        <v>1010</v>
      </c>
      <c r="B608" s="2">
        <v>45644</v>
      </c>
      <c r="C608" s="2" t="str">
        <f>TEXT(E_Commerce_data[[#This Row],[order_date]],"MMM")</f>
        <v>Dec</v>
      </c>
      <c r="D608" s="1" t="s">
        <v>573</v>
      </c>
      <c r="E608" s="1" t="s">
        <v>574</v>
      </c>
      <c r="F608" s="1" t="s">
        <v>36</v>
      </c>
      <c r="G608" s="1" t="s">
        <v>32</v>
      </c>
      <c r="H608" s="2">
        <v>45540</v>
      </c>
      <c r="I608" s="1" t="s">
        <v>964</v>
      </c>
      <c r="J608" s="1" t="s">
        <v>965</v>
      </c>
      <c r="K608" s="1" t="s">
        <v>902</v>
      </c>
      <c r="L608" s="1">
        <v>3589.32</v>
      </c>
      <c r="M608" s="1">
        <v>4</v>
      </c>
      <c r="N608" s="1">
        <v>0.1</v>
      </c>
      <c r="O608" s="1">
        <v>12921.55</v>
      </c>
      <c r="P608" s="1">
        <v>2567.33</v>
      </c>
    </row>
    <row r="609" spans="1:16" x14ac:dyDescent="0.3">
      <c r="A609" s="1" t="s">
        <v>290</v>
      </c>
      <c r="B609" s="2">
        <v>46005</v>
      </c>
      <c r="C609" s="2" t="str">
        <f>TEXT(E_Commerce_data[[#This Row],[order_date]],"MMM")</f>
        <v>Dec</v>
      </c>
      <c r="D609" s="1" t="s">
        <v>74</v>
      </c>
      <c r="E609" s="1" t="s">
        <v>75</v>
      </c>
      <c r="F609" s="1" t="s">
        <v>76</v>
      </c>
      <c r="G609" s="1" t="s">
        <v>32</v>
      </c>
      <c r="H609" s="2">
        <v>44954</v>
      </c>
      <c r="I609" s="1" t="s">
        <v>215</v>
      </c>
      <c r="J609" s="1" t="s">
        <v>216</v>
      </c>
      <c r="K609" s="1" t="s">
        <v>22</v>
      </c>
      <c r="L609" s="1">
        <v>11273.63</v>
      </c>
      <c r="M609" s="1">
        <v>4</v>
      </c>
      <c r="N609" s="1">
        <v>0.2</v>
      </c>
      <c r="O609" s="1">
        <v>36075.620000000003</v>
      </c>
      <c r="P609" s="1">
        <v>7479.88</v>
      </c>
    </row>
    <row r="610" spans="1:16" x14ac:dyDescent="0.3">
      <c r="A610" s="1" t="s">
        <v>606</v>
      </c>
      <c r="B610" s="2">
        <v>45677</v>
      </c>
      <c r="C610" s="2" t="str">
        <f>TEXT(E_Commerce_data[[#This Row],[order_date]],"MMM")</f>
        <v>Jan</v>
      </c>
      <c r="D610" s="1" t="s">
        <v>109</v>
      </c>
      <c r="E610" s="1" t="s">
        <v>110</v>
      </c>
      <c r="F610" s="1" t="s">
        <v>31</v>
      </c>
      <c r="G610" s="1" t="s">
        <v>32</v>
      </c>
      <c r="H610" s="2">
        <v>45026</v>
      </c>
      <c r="I610" s="1" t="s">
        <v>558</v>
      </c>
      <c r="J610" s="1" t="s">
        <v>559</v>
      </c>
      <c r="K610" s="1" t="s">
        <v>560</v>
      </c>
      <c r="L610" s="1">
        <v>11049.86</v>
      </c>
      <c r="M610" s="1">
        <v>4</v>
      </c>
      <c r="N610" s="1">
        <v>0.05</v>
      </c>
      <c r="O610" s="1">
        <v>41989.47</v>
      </c>
      <c r="P610" s="1">
        <v>3979.14</v>
      </c>
    </row>
    <row r="611" spans="1:16" x14ac:dyDescent="0.3">
      <c r="A611" s="1" t="s">
        <v>607</v>
      </c>
      <c r="B611" s="2">
        <v>45538</v>
      </c>
      <c r="C611" s="2" t="str">
        <f>TEXT(E_Commerce_data[[#This Row],[order_date]],"MMM")</f>
        <v>Sep</v>
      </c>
      <c r="D611" s="1" t="s">
        <v>384</v>
      </c>
      <c r="E611" s="1" t="s">
        <v>385</v>
      </c>
      <c r="F611" s="1" t="s">
        <v>93</v>
      </c>
      <c r="G611" s="1" t="s">
        <v>27</v>
      </c>
      <c r="H611" s="2">
        <v>45055</v>
      </c>
      <c r="I611" s="1" t="s">
        <v>558</v>
      </c>
      <c r="J611" s="1" t="s">
        <v>559</v>
      </c>
      <c r="K611" s="1" t="s">
        <v>560</v>
      </c>
      <c r="L611" s="1">
        <v>11049.86</v>
      </c>
      <c r="M611" s="1">
        <v>2</v>
      </c>
      <c r="N611" s="1">
        <v>0.2</v>
      </c>
      <c r="O611" s="1">
        <v>17679.78</v>
      </c>
      <c r="P611" s="1">
        <v>3737.13</v>
      </c>
    </row>
    <row r="612" spans="1:16" x14ac:dyDescent="0.3">
      <c r="A612" s="1" t="s">
        <v>799</v>
      </c>
      <c r="B612" s="2">
        <v>45439</v>
      </c>
      <c r="C612" s="2" t="str">
        <f>TEXT(E_Commerce_data[[#This Row],[order_date]],"MMM")</f>
        <v>May</v>
      </c>
      <c r="D612" s="1" t="s">
        <v>78</v>
      </c>
      <c r="E612" s="1" t="s">
        <v>79</v>
      </c>
      <c r="F612" s="1" t="s">
        <v>76</v>
      </c>
      <c r="G612" s="1" t="s">
        <v>32</v>
      </c>
      <c r="H612" s="2">
        <v>45365</v>
      </c>
      <c r="I612" s="1" t="s">
        <v>763</v>
      </c>
      <c r="J612" s="1" t="s">
        <v>764</v>
      </c>
      <c r="K612" s="1" t="s">
        <v>560</v>
      </c>
      <c r="L612" s="1">
        <v>11485.64</v>
      </c>
      <c r="M612" s="1">
        <v>2</v>
      </c>
      <c r="N612" s="1">
        <v>0</v>
      </c>
      <c r="O612" s="1">
        <v>22971.279999999999</v>
      </c>
      <c r="P612" s="1">
        <v>7058.21</v>
      </c>
    </row>
    <row r="613" spans="1:16" x14ac:dyDescent="0.3">
      <c r="A613" s="1" t="s">
        <v>872</v>
      </c>
      <c r="B613" s="2">
        <v>45718</v>
      </c>
      <c r="C613" s="2" t="str">
        <f>TEXT(E_Commerce_data[[#This Row],[order_date]],"MMM")</f>
        <v>Mar</v>
      </c>
      <c r="D613" s="1" t="s">
        <v>233</v>
      </c>
      <c r="E613" s="1" t="s">
        <v>234</v>
      </c>
      <c r="F613" s="1" t="s">
        <v>72</v>
      </c>
      <c r="G613" s="1" t="s">
        <v>48</v>
      </c>
      <c r="H613" s="2">
        <v>45321</v>
      </c>
      <c r="I613" s="1" t="s">
        <v>822</v>
      </c>
      <c r="J613" s="1" t="s">
        <v>823</v>
      </c>
      <c r="K613" s="1" t="s">
        <v>560</v>
      </c>
      <c r="L613" s="1">
        <v>45275.73</v>
      </c>
      <c r="M613" s="1">
        <v>4</v>
      </c>
      <c r="N613" s="1">
        <v>0</v>
      </c>
      <c r="O613" s="1">
        <v>181102.92</v>
      </c>
      <c r="P613" s="1">
        <v>39610.07</v>
      </c>
    </row>
    <row r="614" spans="1:16" x14ac:dyDescent="0.3">
      <c r="A614" s="1" t="s">
        <v>939</v>
      </c>
      <c r="B614" s="2">
        <v>45540</v>
      </c>
      <c r="C614" s="2" t="str">
        <f>TEXT(E_Commerce_data[[#This Row],[order_date]],"MMM")</f>
        <v>Sep</v>
      </c>
      <c r="D614" s="1" t="s">
        <v>297</v>
      </c>
      <c r="E614" s="1" t="s">
        <v>298</v>
      </c>
      <c r="F614" s="1" t="s">
        <v>47</v>
      </c>
      <c r="G614" s="1" t="s">
        <v>48</v>
      </c>
      <c r="H614" s="2">
        <v>45092</v>
      </c>
      <c r="I614" s="1" t="s">
        <v>900</v>
      </c>
      <c r="J614" s="1" t="s">
        <v>901</v>
      </c>
      <c r="K614" s="1" t="s">
        <v>902</v>
      </c>
      <c r="L614" s="1">
        <v>42988.79</v>
      </c>
      <c r="M614" s="1">
        <v>5</v>
      </c>
      <c r="N614" s="1">
        <v>0.1</v>
      </c>
      <c r="O614" s="1">
        <v>193449.56</v>
      </c>
      <c r="P614" s="1">
        <v>17454.53</v>
      </c>
    </row>
    <row r="615" spans="1:16" x14ac:dyDescent="0.3">
      <c r="A615" s="1" t="s">
        <v>145</v>
      </c>
      <c r="B615" s="2">
        <v>45372</v>
      </c>
      <c r="C615" s="2" t="str">
        <f>TEXT(E_Commerce_data[[#This Row],[order_date]],"MMM")</f>
        <v>Mar</v>
      </c>
      <c r="D615" s="1" t="s">
        <v>85</v>
      </c>
      <c r="E615" s="1" t="s">
        <v>86</v>
      </c>
      <c r="F615" s="1" t="s">
        <v>36</v>
      </c>
      <c r="G615" s="1" t="s">
        <v>32</v>
      </c>
      <c r="H615" s="2">
        <v>44957</v>
      </c>
      <c r="I615" s="1" t="s">
        <v>20</v>
      </c>
      <c r="J615" s="1" t="s">
        <v>21</v>
      </c>
      <c r="K615" s="1" t="s">
        <v>22</v>
      </c>
      <c r="L615" s="1">
        <v>6094.16</v>
      </c>
      <c r="M615" s="1">
        <v>3</v>
      </c>
      <c r="N615" s="1">
        <v>0</v>
      </c>
      <c r="O615" s="1">
        <v>18282.48</v>
      </c>
      <c r="P615" s="1">
        <v>2725.53</v>
      </c>
    </row>
    <row r="616" spans="1:16" x14ac:dyDescent="0.3">
      <c r="A616" s="1" t="s">
        <v>675</v>
      </c>
      <c r="B616" s="2">
        <v>45840</v>
      </c>
      <c r="C616" s="2" t="str">
        <f>TEXT(E_Commerce_data[[#This Row],[order_date]],"MMM")</f>
        <v>Jul</v>
      </c>
      <c r="D616" s="1" t="s">
        <v>53</v>
      </c>
      <c r="E616" s="1" t="s">
        <v>54</v>
      </c>
      <c r="F616" s="1" t="s">
        <v>55</v>
      </c>
      <c r="G616" s="1" t="s">
        <v>27</v>
      </c>
      <c r="H616" s="2">
        <v>45623</v>
      </c>
      <c r="I616" s="1" t="s">
        <v>633</v>
      </c>
      <c r="J616" s="1" t="s">
        <v>634</v>
      </c>
      <c r="K616" s="1" t="s">
        <v>560</v>
      </c>
      <c r="L616" s="1">
        <v>3596.1</v>
      </c>
      <c r="M616" s="1">
        <v>4</v>
      </c>
      <c r="N616" s="1">
        <v>0.2</v>
      </c>
      <c r="O616" s="1">
        <v>11507.52</v>
      </c>
      <c r="P616" s="1">
        <v>1856.43</v>
      </c>
    </row>
    <row r="617" spans="1:16" x14ac:dyDescent="0.3">
      <c r="A617" s="1" t="s">
        <v>676</v>
      </c>
      <c r="B617" s="2">
        <v>45981</v>
      </c>
      <c r="C617" s="2" t="str">
        <f>TEXT(E_Commerce_data[[#This Row],[order_date]],"MMM")</f>
        <v>Nov</v>
      </c>
      <c r="D617" s="1" t="s">
        <v>392</v>
      </c>
      <c r="E617" s="1" t="s">
        <v>393</v>
      </c>
      <c r="F617" s="1" t="s">
        <v>76</v>
      </c>
      <c r="G617" s="1" t="s">
        <v>32</v>
      </c>
      <c r="H617" s="2">
        <v>45197</v>
      </c>
      <c r="I617" s="1" t="s">
        <v>633</v>
      </c>
      <c r="J617" s="1" t="s">
        <v>634</v>
      </c>
      <c r="K617" s="1" t="s">
        <v>560</v>
      </c>
      <c r="L617" s="1">
        <v>3596.1</v>
      </c>
      <c r="M617" s="1">
        <v>2</v>
      </c>
      <c r="N617" s="1">
        <v>0</v>
      </c>
      <c r="O617" s="1">
        <v>7192.2</v>
      </c>
      <c r="P617" s="1">
        <v>938.86</v>
      </c>
    </row>
    <row r="618" spans="1:16" x14ac:dyDescent="0.3">
      <c r="A618" s="1" t="s">
        <v>736</v>
      </c>
      <c r="B618" s="2">
        <v>45366</v>
      </c>
      <c r="C618" s="2" t="str">
        <f>TEXT(E_Commerce_data[[#This Row],[order_date]],"MMM")</f>
        <v>Mar</v>
      </c>
      <c r="D618" s="1" t="s">
        <v>66</v>
      </c>
      <c r="E618" s="1" t="s">
        <v>67</v>
      </c>
      <c r="F618" s="1" t="s">
        <v>18</v>
      </c>
      <c r="G618" s="1" t="s">
        <v>19</v>
      </c>
      <c r="H618" s="2">
        <v>45657</v>
      </c>
      <c r="I618" s="1" t="s">
        <v>706</v>
      </c>
      <c r="J618" s="1" t="s">
        <v>707</v>
      </c>
      <c r="K618" s="1" t="s">
        <v>560</v>
      </c>
      <c r="L618" s="1">
        <v>31573.59</v>
      </c>
      <c r="M618" s="1">
        <v>5</v>
      </c>
      <c r="N618" s="1">
        <v>0.1</v>
      </c>
      <c r="O618" s="1">
        <v>142081.16</v>
      </c>
      <c r="P618" s="1">
        <v>8789.75</v>
      </c>
    </row>
    <row r="619" spans="1:16" x14ac:dyDescent="0.3">
      <c r="A619" s="1" t="s">
        <v>1219</v>
      </c>
      <c r="B619" s="2">
        <v>45979</v>
      </c>
      <c r="C619" s="2" t="str">
        <f>TEXT(E_Commerce_data[[#This Row],[order_date]],"MMM")</f>
        <v>Nov</v>
      </c>
      <c r="D619" s="1" t="s">
        <v>106</v>
      </c>
      <c r="E619" s="1" t="s">
        <v>107</v>
      </c>
      <c r="F619" s="1" t="s">
        <v>47</v>
      </c>
      <c r="G619" s="1" t="s">
        <v>48</v>
      </c>
      <c r="H619" s="2">
        <v>45375</v>
      </c>
      <c r="I619" s="1" t="s">
        <v>1162</v>
      </c>
      <c r="J619" s="1" t="s">
        <v>1163</v>
      </c>
      <c r="K619" s="1" t="s">
        <v>902</v>
      </c>
      <c r="L619" s="1">
        <v>10751.13</v>
      </c>
      <c r="M619" s="1">
        <v>2</v>
      </c>
      <c r="N619" s="1">
        <v>0.2</v>
      </c>
      <c r="O619" s="1">
        <v>17201.810000000001</v>
      </c>
      <c r="P619" s="1">
        <v>4790.8599999999997</v>
      </c>
    </row>
    <row r="620" spans="1:16" x14ac:dyDescent="0.3">
      <c r="A620" s="1" t="s">
        <v>677</v>
      </c>
      <c r="B620" s="2">
        <v>45632</v>
      </c>
      <c r="C620" s="2" t="str">
        <f>TEXT(E_Commerce_data[[#This Row],[order_date]],"MMM")</f>
        <v>Dec</v>
      </c>
      <c r="D620" s="1" t="s">
        <v>424</v>
      </c>
      <c r="E620" s="1" t="s">
        <v>425</v>
      </c>
      <c r="F620" s="1" t="s">
        <v>43</v>
      </c>
      <c r="G620" s="1" t="s">
        <v>32</v>
      </c>
      <c r="H620" s="2">
        <v>45489</v>
      </c>
      <c r="I620" s="1" t="s">
        <v>633</v>
      </c>
      <c r="J620" s="1" t="s">
        <v>634</v>
      </c>
      <c r="K620" s="1" t="s">
        <v>560</v>
      </c>
      <c r="L620" s="1">
        <v>3596.1</v>
      </c>
      <c r="M620" s="1">
        <v>5</v>
      </c>
      <c r="N620" s="1">
        <v>0</v>
      </c>
      <c r="O620" s="1">
        <v>17980.5</v>
      </c>
      <c r="P620" s="1">
        <v>3484.95</v>
      </c>
    </row>
    <row r="621" spans="1:16" x14ac:dyDescent="0.3">
      <c r="A621" s="1" t="s">
        <v>678</v>
      </c>
      <c r="B621" s="2">
        <v>45486</v>
      </c>
      <c r="C621" s="2" t="str">
        <f>TEXT(E_Commerce_data[[#This Row],[order_date]],"MMM")</f>
        <v>Jul</v>
      </c>
      <c r="D621" s="1" t="s">
        <v>519</v>
      </c>
      <c r="E621" s="1" t="s">
        <v>520</v>
      </c>
      <c r="F621" s="1" t="s">
        <v>55</v>
      </c>
      <c r="G621" s="1" t="s">
        <v>27</v>
      </c>
      <c r="H621" s="2">
        <v>45198</v>
      </c>
      <c r="I621" s="1" t="s">
        <v>633</v>
      </c>
      <c r="J621" s="1" t="s">
        <v>634</v>
      </c>
      <c r="K621" s="1" t="s">
        <v>560</v>
      </c>
      <c r="L621" s="1">
        <v>3596.1</v>
      </c>
      <c r="M621" s="1">
        <v>3</v>
      </c>
      <c r="N621" s="1">
        <v>0</v>
      </c>
      <c r="O621" s="1">
        <v>10788.3</v>
      </c>
      <c r="P621" s="1">
        <v>1224.93</v>
      </c>
    </row>
    <row r="622" spans="1:16" x14ac:dyDescent="0.3">
      <c r="A622" s="1" t="s">
        <v>1075</v>
      </c>
      <c r="B622" s="2">
        <v>45782</v>
      </c>
      <c r="C622" s="2" t="str">
        <f>TEXT(E_Commerce_data[[#This Row],[order_date]],"MMM")</f>
        <v>May</v>
      </c>
      <c r="D622" s="1" t="s">
        <v>233</v>
      </c>
      <c r="E622" s="1" t="s">
        <v>234</v>
      </c>
      <c r="F622" s="1" t="s">
        <v>72</v>
      </c>
      <c r="G622" s="1" t="s">
        <v>48</v>
      </c>
      <c r="H622" s="2">
        <v>45321</v>
      </c>
      <c r="I622" s="1" t="s">
        <v>1034</v>
      </c>
      <c r="J622" s="1" t="s">
        <v>1035</v>
      </c>
      <c r="K622" s="1" t="s">
        <v>902</v>
      </c>
      <c r="L622" s="1">
        <v>11938.33</v>
      </c>
      <c r="M622" s="1">
        <v>1</v>
      </c>
      <c r="N622" s="1">
        <v>0.15</v>
      </c>
      <c r="O622" s="1">
        <v>10147.58</v>
      </c>
      <c r="P622" s="1">
        <v>3550.35</v>
      </c>
    </row>
    <row r="623" spans="1:16" x14ac:dyDescent="0.3">
      <c r="A623" s="1" t="s">
        <v>291</v>
      </c>
      <c r="B623" s="2">
        <v>45501</v>
      </c>
      <c r="C623" s="2" t="str">
        <f>TEXT(E_Commerce_data[[#This Row],[order_date]],"MMM")</f>
        <v>Jul</v>
      </c>
      <c r="D623" s="1" t="s">
        <v>162</v>
      </c>
      <c r="E623" s="1" t="s">
        <v>163</v>
      </c>
      <c r="F623" s="1" t="s">
        <v>93</v>
      </c>
      <c r="G623" s="1" t="s">
        <v>27</v>
      </c>
      <c r="H623" s="2">
        <v>45200</v>
      </c>
      <c r="I623" s="1" t="s">
        <v>215</v>
      </c>
      <c r="J623" s="1" t="s">
        <v>216</v>
      </c>
      <c r="K623" s="1" t="s">
        <v>22</v>
      </c>
      <c r="L623" s="1">
        <v>11273.63</v>
      </c>
      <c r="M623" s="1">
        <v>2</v>
      </c>
      <c r="N623" s="1">
        <v>0.15</v>
      </c>
      <c r="O623" s="1">
        <v>19165.169999999998</v>
      </c>
      <c r="P623" s="1">
        <v>4433.3</v>
      </c>
    </row>
    <row r="624" spans="1:16" x14ac:dyDescent="0.3">
      <c r="A624" s="1" t="s">
        <v>292</v>
      </c>
      <c r="B624" s="2">
        <v>45581</v>
      </c>
      <c r="C624" s="2" t="str">
        <f>TEXT(E_Commerce_data[[#This Row],[order_date]],"MMM")</f>
        <v>Oct</v>
      </c>
      <c r="D624" s="1" t="s">
        <v>112</v>
      </c>
      <c r="E624" s="1" t="s">
        <v>113</v>
      </c>
      <c r="F624" s="1" t="s">
        <v>55</v>
      </c>
      <c r="G624" s="1" t="s">
        <v>27</v>
      </c>
      <c r="H624" s="2">
        <v>45602</v>
      </c>
      <c r="I624" s="1" t="s">
        <v>215</v>
      </c>
      <c r="J624" s="1" t="s">
        <v>216</v>
      </c>
      <c r="K624" s="1" t="s">
        <v>22</v>
      </c>
      <c r="L624" s="1">
        <v>11273.63</v>
      </c>
      <c r="M624" s="1">
        <v>4</v>
      </c>
      <c r="N624" s="1">
        <v>0</v>
      </c>
      <c r="O624" s="1">
        <v>45094.52</v>
      </c>
      <c r="P624" s="1">
        <v>9723.4500000000007</v>
      </c>
    </row>
    <row r="625" spans="1:16" x14ac:dyDescent="0.3">
      <c r="A625" s="1" t="s">
        <v>293</v>
      </c>
      <c r="B625" s="2">
        <v>45659</v>
      </c>
      <c r="C625" s="2" t="str">
        <f>TEXT(E_Commerce_data[[#This Row],[order_date]],"MMM")</f>
        <v>Jan</v>
      </c>
      <c r="D625" s="1" t="s">
        <v>222</v>
      </c>
      <c r="E625" s="1" t="s">
        <v>223</v>
      </c>
      <c r="F625" s="1" t="s">
        <v>72</v>
      </c>
      <c r="G625" s="1" t="s">
        <v>48</v>
      </c>
      <c r="H625" s="2">
        <v>45014</v>
      </c>
      <c r="I625" s="1" t="s">
        <v>215</v>
      </c>
      <c r="J625" s="1" t="s">
        <v>216</v>
      </c>
      <c r="K625" s="1" t="s">
        <v>22</v>
      </c>
      <c r="L625" s="1">
        <v>11273.63</v>
      </c>
      <c r="M625" s="1">
        <v>4</v>
      </c>
      <c r="N625" s="1">
        <v>0.05</v>
      </c>
      <c r="O625" s="1">
        <v>42839.79</v>
      </c>
      <c r="P625" s="1">
        <v>9000.43</v>
      </c>
    </row>
    <row r="626" spans="1:16" x14ac:dyDescent="0.3">
      <c r="A626" s="1" t="s">
        <v>1139</v>
      </c>
      <c r="B626" s="2">
        <v>45801</v>
      </c>
      <c r="C626" s="2" t="str">
        <f>TEXT(E_Commerce_data[[#This Row],[order_date]],"MMM")</f>
        <v>May</v>
      </c>
      <c r="D626" s="1" t="s">
        <v>102</v>
      </c>
      <c r="E626" s="1" t="s">
        <v>103</v>
      </c>
      <c r="F626" s="1" t="s">
        <v>93</v>
      </c>
      <c r="G626" s="1" t="s">
        <v>27</v>
      </c>
      <c r="H626" s="2">
        <v>45548</v>
      </c>
      <c r="I626" s="1" t="s">
        <v>1102</v>
      </c>
      <c r="J626" s="1" t="s">
        <v>1103</v>
      </c>
      <c r="K626" s="1" t="s">
        <v>902</v>
      </c>
      <c r="L626" s="1">
        <v>33465.440000000002</v>
      </c>
      <c r="M626" s="1">
        <v>3</v>
      </c>
      <c r="N626" s="1">
        <v>0</v>
      </c>
      <c r="O626" s="1">
        <v>100396.32</v>
      </c>
      <c r="P626" s="1">
        <v>15851.91</v>
      </c>
    </row>
    <row r="627" spans="1:16" x14ac:dyDescent="0.3">
      <c r="A627" s="1" t="s">
        <v>1076</v>
      </c>
      <c r="B627" s="2">
        <v>45772</v>
      </c>
      <c r="C627" s="2" t="str">
        <f>TEXT(E_Commerce_data[[#This Row],[order_date]],"MMM")</f>
        <v>Apr</v>
      </c>
      <c r="D627" s="1" t="s">
        <v>102</v>
      </c>
      <c r="E627" s="1" t="s">
        <v>103</v>
      </c>
      <c r="F627" s="1" t="s">
        <v>93</v>
      </c>
      <c r="G627" s="1" t="s">
        <v>27</v>
      </c>
      <c r="H627" s="2">
        <v>45548</v>
      </c>
      <c r="I627" s="1" t="s">
        <v>1034</v>
      </c>
      <c r="J627" s="1" t="s">
        <v>1035</v>
      </c>
      <c r="K627" s="1" t="s">
        <v>902</v>
      </c>
      <c r="L627" s="1">
        <v>11938.33</v>
      </c>
      <c r="M627" s="1">
        <v>4</v>
      </c>
      <c r="N627" s="1">
        <v>0</v>
      </c>
      <c r="O627" s="1">
        <v>47753.32</v>
      </c>
      <c r="P627" s="1">
        <v>13888.81</v>
      </c>
    </row>
    <row r="628" spans="1:16" x14ac:dyDescent="0.3">
      <c r="A628" s="1" t="s">
        <v>873</v>
      </c>
      <c r="B628" s="2">
        <v>45715</v>
      </c>
      <c r="C628" s="2" t="str">
        <f>TEXT(E_Commerce_data[[#This Row],[order_date]],"MMM")</f>
        <v>Feb</v>
      </c>
      <c r="D628" s="1" t="s">
        <v>230</v>
      </c>
      <c r="E628" s="1" t="s">
        <v>231</v>
      </c>
      <c r="F628" s="1" t="s">
        <v>72</v>
      </c>
      <c r="G628" s="1" t="s">
        <v>48</v>
      </c>
      <c r="H628" s="2">
        <v>45550</v>
      </c>
      <c r="I628" s="1" t="s">
        <v>822</v>
      </c>
      <c r="J628" s="1" t="s">
        <v>823</v>
      </c>
      <c r="K628" s="1" t="s">
        <v>560</v>
      </c>
      <c r="L628" s="1">
        <v>45275.73</v>
      </c>
      <c r="M628" s="1">
        <v>3</v>
      </c>
      <c r="N628" s="1">
        <v>0</v>
      </c>
      <c r="O628" s="1">
        <v>135827.19</v>
      </c>
      <c r="P628" s="1">
        <v>21896.9</v>
      </c>
    </row>
    <row r="629" spans="1:16" x14ac:dyDescent="0.3">
      <c r="A629" s="1" t="s">
        <v>874</v>
      </c>
      <c r="B629" s="2">
        <v>45441</v>
      </c>
      <c r="C629" s="2" t="str">
        <f>TEXT(E_Commerce_data[[#This Row],[order_date]],"MMM")</f>
        <v>May</v>
      </c>
      <c r="D629" s="1" t="s">
        <v>203</v>
      </c>
      <c r="E629" s="1" t="s">
        <v>204</v>
      </c>
      <c r="F629" s="1" t="s">
        <v>76</v>
      </c>
      <c r="G629" s="1" t="s">
        <v>32</v>
      </c>
      <c r="H629" s="2">
        <v>45297</v>
      </c>
      <c r="I629" s="1" t="s">
        <v>822</v>
      </c>
      <c r="J629" s="1" t="s">
        <v>823</v>
      </c>
      <c r="K629" s="1" t="s">
        <v>560</v>
      </c>
      <c r="L629" s="1">
        <v>45275.73</v>
      </c>
      <c r="M629" s="1">
        <v>1</v>
      </c>
      <c r="N629" s="1">
        <v>0.1</v>
      </c>
      <c r="O629" s="1">
        <v>40748.160000000003</v>
      </c>
      <c r="P629" s="1">
        <v>12600.37</v>
      </c>
    </row>
    <row r="630" spans="1:16" x14ac:dyDescent="0.3">
      <c r="A630" s="1" t="s">
        <v>1220</v>
      </c>
      <c r="B630" s="2">
        <v>45890</v>
      </c>
      <c r="C630" s="2" t="str">
        <f>TEXT(E_Commerce_data[[#This Row],[order_date]],"MMM")</f>
        <v>Aug</v>
      </c>
      <c r="D630" s="1" t="s">
        <v>189</v>
      </c>
      <c r="E630" s="1" t="s">
        <v>190</v>
      </c>
      <c r="F630" s="1" t="s">
        <v>26</v>
      </c>
      <c r="G630" s="1" t="s">
        <v>27</v>
      </c>
      <c r="H630" s="2">
        <v>45645</v>
      </c>
      <c r="I630" s="1" t="s">
        <v>1162</v>
      </c>
      <c r="J630" s="1" t="s">
        <v>1163</v>
      </c>
      <c r="K630" s="1" t="s">
        <v>902</v>
      </c>
      <c r="L630" s="1">
        <v>10751.13</v>
      </c>
      <c r="M630" s="1">
        <v>1</v>
      </c>
      <c r="N630" s="1">
        <v>0</v>
      </c>
      <c r="O630" s="1">
        <v>10751.13</v>
      </c>
      <c r="P630" s="1">
        <v>2322.17</v>
      </c>
    </row>
    <row r="631" spans="1:16" x14ac:dyDescent="0.3">
      <c r="A631" s="1" t="s">
        <v>146</v>
      </c>
      <c r="B631" s="2">
        <v>45448</v>
      </c>
      <c r="C631" s="2" t="str">
        <f>TEXT(E_Commerce_data[[#This Row],[order_date]],"MMM")</f>
        <v>Jun</v>
      </c>
      <c r="D631" s="1" t="s">
        <v>147</v>
      </c>
      <c r="E631" s="1" t="s">
        <v>148</v>
      </c>
      <c r="F631" s="1" t="s">
        <v>36</v>
      </c>
      <c r="G631" s="1" t="s">
        <v>32</v>
      </c>
      <c r="H631" s="2">
        <v>45090</v>
      </c>
      <c r="I631" s="1" t="s">
        <v>20</v>
      </c>
      <c r="J631" s="1" t="s">
        <v>21</v>
      </c>
      <c r="K631" s="1" t="s">
        <v>22</v>
      </c>
      <c r="L631" s="1">
        <v>6094.16</v>
      </c>
      <c r="M631" s="1">
        <v>5</v>
      </c>
      <c r="N631" s="1">
        <v>0.15</v>
      </c>
      <c r="O631" s="1">
        <v>25900.18</v>
      </c>
      <c r="P631" s="1">
        <v>4539.6099999999997</v>
      </c>
    </row>
    <row r="632" spans="1:16" x14ac:dyDescent="0.3">
      <c r="A632" s="1" t="s">
        <v>875</v>
      </c>
      <c r="B632" s="2">
        <v>45875</v>
      </c>
      <c r="C632" s="2" t="str">
        <f>TEXT(E_Commerce_data[[#This Row],[order_date]],"MMM")</f>
        <v>Aug</v>
      </c>
      <c r="D632" s="1" t="s">
        <v>266</v>
      </c>
      <c r="E632" s="1" t="s">
        <v>267</v>
      </c>
      <c r="F632" s="1" t="s">
        <v>72</v>
      </c>
      <c r="G632" s="1" t="s">
        <v>48</v>
      </c>
      <c r="H632" s="2">
        <v>45316</v>
      </c>
      <c r="I632" s="1" t="s">
        <v>822</v>
      </c>
      <c r="J632" s="1" t="s">
        <v>823</v>
      </c>
      <c r="K632" s="1" t="s">
        <v>560</v>
      </c>
      <c r="L632" s="1">
        <v>45275.73</v>
      </c>
      <c r="M632" s="1">
        <v>2</v>
      </c>
      <c r="N632" s="1">
        <v>0</v>
      </c>
      <c r="O632" s="1">
        <v>90551.46</v>
      </c>
      <c r="P632" s="1">
        <v>10776.13</v>
      </c>
    </row>
    <row r="633" spans="1:16" x14ac:dyDescent="0.3">
      <c r="A633" s="1" t="s">
        <v>383</v>
      </c>
      <c r="B633" s="2">
        <v>45993</v>
      </c>
      <c r="C633" s="2" t="str">
        <f>TEXT(E_Commerce_data[[#This Row],[order_date]],"MMM")</f>
        <v>Dec</v>
      </c>
      <c r="D633" s="1" t="s">
        <v>384</v>
      </c>
      <c r="E633" s="1" t="s">
        <v>385</v>
      </c>
      <c r="F633" s="1" t="s">
        <v>93</v>
      </c>
      <c r="G633" s="1" t="s">
        <v>27</v>
      </c>
      <c r="H633" s="2">
        <v>45055</v>
      </c>
      <c r="I633" s="1" t="s">
        <v>315</v>
      </c>
      <c r="J633" s="1" t="s">
        <v>316</v>
      </c>
      <c r="K633" s="1" t="s">
        <v>22</v>
      </c>
      <c r="L633" s="1">
        <v>16937.37</v>
      </c>
      <c r="M633" s="1">
        <v>2</v>
      </c>
      <c r="N633" s="1">
        <v>0.05</v>
      </c>
      <c r="O633" s="1">
        <v>32181</v>
      </c>
      <c r="P633" s="1">
        <v>6925.12</v>
      </c>
    </row>
    <row r="634" spans="1:16" x14ac:dyDescent="0.3">
      <c r="A634" s="1" t="s">
        <v>1011</v>
      </c>
      <c r="B634" s="2">
        <v>45792</v>
      </c>
      <c r="C634" s="2" t="str">
        <f>TEXT(E_Commerce_data[[#This Row],[order_date]],"MMM")</f>
        <v>May</v>
      </c>
      <c r="D634" s="1" t="s">
        <v>453</v>
      </c>
      <c r="E634" s="1" t="s">
        <v>454</v>
      </c>
      <c r="F634" s="1" t="s">
        <v>31</v>
      </c>
      <c r="G634" s="1" t="s">
        <v>32</v>
      </c>
      <c r="H634" s="2">
        <v>45143</v>
      </c>
      <c r="I634" s="1" t="s">
        <v>964</v>
      </c>
      <c r="J634" s="1" t="s">
        <v>965</v>
      </c>
      <c r="K634" s="1" t="s">
        <v>902</v>
      </c>
      <c r="L634" s="1">
        <v>3589.32</v>
      </c>
      <c r="M634" s="1">
        <v>3</v>
      </c>
      <c r="N634" s="1">
        <v>0</v>
      </c>
      <c r="O634" s="1">
        <v>10767.96</v>
      </c>
      <c r="P634" s="1">
        <v>3004.35</v>
      </c>
    </row>
    <row r="635" spans="1:16" x14ac:dyDescent="0.3">
      <c r="A635" s="1" t="s">
        <v>800</v>
      </c>
      <c r="B635" s="2">
        <v>45652</v>
      </c>
      <c r="C635" s="2" t="str">
        <f>TEXT(E_Commerce_data[[#This Row],[order_date]],"MMM")</f>
        <v>Dec</v>
      </c>
      <c r="D635" s="1" t="s">
        <v>206</v>
      </c>
      <c r="E635" s="1" t="s">
        <v>207</v>
      </c>
      <c r="F635" s="1" t="s">
        <v>72</v>
      </c>
      <c r="G635" s="1" t="s">
        <v>48</v>
      </c>
      <c r="H635" s="2">
        <v>45625</v>
      </c>
      <c r="I635" s="1" t="s">
        <v>763</v>
      </c>
      <c r="J635" s="1" t="s">
        <v>764</v>
      </c>
      <c r="K635" s="1" t="s">
        <v>560</v>
      </c>
      <c r="L635" s="1">
        <v>11485.64</v>
      </c>
      <c r="M635" s="1">
        <v>4</v>
      </c>
      <c r="N635" s="1">
        <v>0.05</v>
      </c>
      <c r="O635" s="1">
        <v>43645.43</v>
      </c>
      <c r="P635" s="1">
        <v>4385.0600000000004</v>
      </c>
    </row>
    <row r="636" spans="1:16" x14ac:dyDescent="0.3">
      <c r="A636" s="1" t="s">
        <v>737</v>
      </c>
      <c r="B636" s="2">
        <v>45792</v>
      </c>
      <c r="C636" s="2" t="str">
        <f>TEXT(E_Commerce_data[[#This Row],[order_date]],"MMM")</f>
        <v>May</v>
      </c>
      <c r="D636" s="1" t="s">
        <v>70</v>
      </c>
      <c r="E636" s="1" t="s">
        <v>71</v>
      </c>
      <c r="F636" s="1" t="s">
        <v>72</v>
      </c>
      <c r="G636" s="1" t="s">
        <v>48</v>
      </c>
      <c r="H636" s="2">
        <v>45150</v>
      </c>
      <c r="I636" s="1" t="s">
        <v>706</v>
      </c>
      <c r="J636" s="1" t="s">
        <v>707</v>
      </c>
      <c r="K636" s="1" t="s">
        <v>560</v>
      </c>
      <c r="L636" s="1">
        <v>31573.59</v>
      </c>
      <c r="M636" s="1">
        <v>2</v>
      </c>
      <c r="N636" s="1">
        <v>0</v>
      </c>
      <c r="O636" s="1">
        <v>63147.18</v>
      </c>
      <c r="P636" s="1">
        <v>16803.09</v>
      </c>
    </row>
    <row r="637" spans="1:16" x14ac:dyDescent="0.3">
      <c r="A637" s="1" t="s">
        <v>459</v>
      </c>
      <c r="B637" s="2">
        <v>45352</v>
      </c>
      <c r="C637" s="2" t="str">
        <f>TEXT(E_Commerce_data[[#This Row],[order_date]],"MMM")</f>
        <v>Mar</v>
      </c>
      <c r="D637" s="1" t="s">
        <v>183</v>
      </c>
      <c r="E637" s="1" t="s">
        <v>184</v>
      </c>
      <c r="F637" s="1" t="s">
        <v>47</v>
      </c>
      <c r="G637" s="1" t="s">
        <v>48</v>
      </c>
      <c r="H637" s="2">
        <v>45151</v>
      </c>
      <c r="I637" s="1" t="s">
        <v>420</v>
      </c>
      <c r="J637" s="1" t="s">
        <v>421</v>
      </c>
      <c r="K637" s="1" t="s">
        <v>22</v>
      </c>
      <c r="L637" s="1">
        <v>29436.02</v>
      </c>
      <c r="M637" s="1">
        <v>2</v>
      </c>
      <c r="N637" s="1">
        <v>0.1</v>
      </c>
      <c r="O637" s="1">
        <v>52984.84</v>
      </c>
      <c r="P637" s="1">
        <v>18390.88</v>
      </c>
    </row>
    <row r="638" spans="1:16" x14ac:dyDescent="0.3">
      <c r="A638" s="1" t="s">
        <v>1077</v>
      </c>
      <c r="B638" s="2">
        <v>45368</v>
      </c>
      <c r="C638" s="2" t="str">
        <f>TEXT(E_Commerce_data[[#This Row],[order_date]],"MMM")</f>
        <v>Mar</v>
      </c>
      <c r="D638" s="1" t="s">
        <v>156</v>
      </c>
      <c r="E638" s="1" t="s">
        <v>157</v>
      </c>
      <c r="F638" s="1" t="s">
        <v>26</v>
      </c>
      <c r="G638" s="1" t="s">
        <v>27</v>
      </c>
      <c r="H638" s="2">
        <v>45391</v>
      </c>
      <c r="I638" s="1" t="s">
        <v>1034</v>
      </c>
      <c r="J638" s="1" t="s">
        <v>1035</v>
      </c>
      <c r="K638" s="1" t="s">
        <v>902</v>
      </c>
      <c r="L638" s="1">
        <v>11938.33</v>
      </c>
      <c r="M638" s="1">
        <v>5</v>
      </c>
      <c r="N638" s="1">
        <v>0</v>
      </c>
      <c r="O638" s="1">
        <v>59691.65</v>
      </c>
      <c r="P638" s="1">
        <v>18010.2</v>
      </c>
    </row>
    <row r="639" spans="1:16" x14ac:dyDescent="0.3">
      <c r="A639" s="1" t="s">
        <v>940</v>
      </c>
      <c r="B639" s="2">
        <v>45432</v>
      </c>
      <c r="C639" s="2" t="str">
        <f>TEXT(E_Commerce_data[[#This Row],[order_date]],"MMM")</f>
        <v>May</v>
      </c>
      <c r="D639" s="1" t="s">
        <v>78</v>
      </c>
      <c r="E639" s="1" t="s">
        <v>79</v>
      </c>
      <c r="F639" s="1" t="s">
        <v>76</v>
      </c>
      <c r="G639" s="1" t="s">
        <v>32</v>
      </c>
      <c r="H639" s="2">
        <v>45365</v>
      </c>
      <c r="I639" s="1" t="s">
        <v>900</v>
      </c>
      <c r="J639" s="1" t="s">
        <v>901</v>
      </c>
      <c r="K639" s="1" t="s">
        <v>902</v>
      </c>
      <c r="L639" s="1">
        <v>42988.79</v>
      </c>
      <c r="M639" s="1">
        <v>1</v>
      </c>
      <c r="N639" s="1">
        <v>0.2</v>
      </c>
      <c r="O639" s="1">
        <v>34391.03</v>
      </c>
      <c r="P639" s="1">
        <v>1785.42</v>
      </c>
    </row>
    <row r="640" spans="1:16" x14ac:dyDescent="0.3">
      <c r="A640" s="1" t="s">
        <v>1221</v>
      </c>
      <c r="B640" s="2">
        <v>45301</v>
      </c>
      <c r="C640" s="2" t="str">
        <f>TEXT(E_Commerce_data[[#This Row],[order_date]],"MMM")</f>
        <v>Jan</v>
      </c>
      <c r="D640" s="1" t="s">
        <v>415</v>
      </c>
      <c r="E640" s="1" t="s">
        <v>416</v>
      </c>
      <c r="F640" s="1" t="s">
        <v>26</v>
      </c>
      <c r="G640" s="1" t="s">
        <v>27</v>
      </c>
      <c r="H640" s="2">
        <v>45177</v>
      </c>
      <c r="I640" s="1" t="s">
        <v>1162</v>
      </c>
      <c r="J640" s="1" t="s">
        <v>1163</v>
      </c>
      <c r="K640" s="1" t="s">
        <v>902</v>
      </c>
      <c r="L640" s="1">
        <v>10751.13</v>
      </c>
      <c r="M640" s="1">
        <v>2</v>
      </c>
      <c r="N640" s="1">
        <v>0</v>
      </c>
      <c r="O640" s="1">
        <v>21502.26</v>
      </c>
      <c r="P640" s="1">
        <v>5636.84</v>
      </c>
    </row>
    <row r="641" spans="1:16" x14ac:dyDescent="0.3">
      <c r="A641" s="1" t="s">
        <v>1012</v>
      </c>
      <c r="B641" s="2">
        <v>45353</v>
      </c>
      <c r="C641" s="2" t="str">
        <f>TEXT(E_Commerce_data[[#This Row],[order_date]],"MMM")</f>
        <v>Mar</v>
      </c>
      <c r="D641" s="1" t="s">
        <v>266</v>
      </c>
      <c r="E641" s="1" t="s">
        <v>267</v>
      </c>
      <c r="F641" s="1" t="s">
        <v>72</v>
      </c>
      <c r="G641" s="1" t="s">
        <v>48</v>
      </c>
      <c r="H641" s="2">
        <v>45316</v>
      </c>
      <c r="I641" s="1" t="s">
        <v>964</v>
      </c>
      <c r="J641" s="1" t="s">
        <v>965</v>
      </c>
      <c r="K641" s="1" t="s">
        <v>902</v>
      </c>
      <c r="L641" s="1">
        <v>3589.32</v>
      </c>
      <c r="M641" s="1">
        <v>2</v>
      </c>
      <c r="N641" s="1">
        <v>0.1</v>
      </c>
      <c r="O641" s="1">
        <v>6460.78</v>
      </c>
      <c r="P641" s="1">
        <v>1206.8900000000001</v>
      </c>
    </row>
    <row r="642" spans="1:16" x14ac:dyDescent="0.3">
      <c r="A642" s="1" t="s">
        <v>1013</v>
      </c>
      <c r="B642" s="2">
        <v>45923</v>
      </c>
      <c r="C642" s="2" t="str">
        <f>TEXT(E_Commerce_data[[#This Row],[order_date]],"MMM")</f>
        <v>Sep</v>
      </c>
      <c r="D642" s="1" t="s">
        <v>259</v>
      </c>
      <c r="E642" s="1" t="s">
        <v>260</v>
      </c>
      <c r="F642" s="1" t="s">
        <v>18</v>
      </c>
      <c r="G642" s="1" t="s">
        <v>19</v>
      </c>
      <c r="H642" s="2">
        <v>45444</v>
      </c>
      <c r="I642" s="1" t="s">
        <v>964</v>
      </c>
      <c r="J642" s="1" t="s">
        <v>965</v>
      </c>
      <c r="K642" s="1" t="s">
        <v>902</v>
      </c>
      <c r="L642" s="1">
        <v>3589.32</v>
      </c>
      <c r="M642" s="1">
        <v>5</v>
      </c>
      <c r="N642" s="1">
        <v>0.15</v>
      </c>
      <c r="O642" s="1">
        <v>15254.61</v>
      </c>
      <c r="P642" s="1">
        <v>3814.06</v>
      </c>
    </row>
    <row r="643" spans="1:16" x14ac:dyDescent="0.3">
      <c r="A643" s="1" t="s">
        <v>1014</v>
      </c>
      <c r="B643" s="2">
        <v>45298</v>
      </c>
      <c r="C643" s="2" t="str">
        <f>TEXT(E_Commerce_data[[#This Row],[order_date]],"MMM")</f>
        <v>Jan</v>
      </c>
      <c r="D643" s="1" t="s">
        <v>453</v>
      </c>
      <c r="E643" s="1" t="s">
        <v>454</v>
      </c>
      <c r="F643" s="1" t="s">
        <v>31</v>
      </c>
      <c r="G643" s="1" t="s">
        <v>32</v>
      </c>
      <c r="H643" s="2">
        <v>45143</v>
      </c>
      <c r="I643" s="1" t="s">
        <v>964</v>
      </c>
      <c r="J643" s="1" t="s">
        <v>965</v>
      </c>
      <c r="K643" s="1" t="s">
        <v>902</v>
      </c>
      <c r="L643" s="1">
        <v>3589.32</v>
      </c>
      <c r="M643" s="1">
        <v>4</v>
      </c>
      <c r="N643" s="1">
        <v>0.15</v>
      </c>
      <c r="O643" s="1">
        <v>12203.69</v>
      </c>
      <c r="P643" s="1">
        <v>2396.27</v>
      </c>
    </row>
    <row r="644" spans="1:16" x14ac:dyDescent="0.3">
      <c r="A644" s="1" t="s">
        <v>294</v>
      </c>
      <c r="B644" s="2">
        <v>45309</v>
      </c>
      <c r="C644" s="2" t="str">
        <f>TEXT(E_Commerce_data[[#This Row],[order_date]],"MMM")</f>
        <v>Jan</v>
      </c>
      <c r="D644" s="1" t="s">
        <v>45</v>
      </c>
      <c r="E644" s="1" t="s">
        <v>46</v>
      </c>
      <c r="F644" s="1" t="s">
        <v>47</v>
      </c>
      <c r="G644" s="1" t="s">
        <v>48</v>
      </c>
      <c r="H644" s="2">
        <v>45290</v>
      </c>
      <c r="I644" s="1" t="s">
        <v>215</v>
      </c>
      <c r="J644" s="1" t="s">
        <v>216</v>
      </c>
      <c r="K644" s="1" t="s">
        <v>22</v>
      </c>
      <c r="L644" s="1">
        <v>11273.63</v>
      </c>
      <c r="M644" s="1">
        <v>5</v>
      </c>
      <c r="N644" s="1">
        <v>0.1</v>
      </c>
      <c r="O644" s="1">
        <v>50731.34</v>
      </c>
      <c r="P644" s="1">
        <v>8796.89</v>
      </c>
    </row>
    <row r="645" spans="1:16" x14ac:dyDescent="0.3">
      <c r="A645" s="1" t="s">
        <v>1140</v>
      </c>
      <c r="B645" s="2">
        <v>45585</v>
      </c>
      <c r="C645" s="2" t="str">
        <f>TEXT(E_Commerce_data[[#This Row],[order_date]],"MMM")</f>
        <v>Oct</v>
      </c>
      <c r="D645" s="1" t="s">
        <v>252</v>
      </c>
      <c r="E645" s="1" t="s">
        <v>253</v>
      </c>
      <c r="F645" s="1" t="s">
        <v>72</v>
      </c>
      <c r="G645" s="1" t="s">
        <v>48</v>
      </c>
      <c r="H645" s="2">
        <v>44973</v>
      </c>
      <c r="I645" s="1" t="s">
        <v>1102</v>
      </c>
      <c r="J645" s="1" t="s">
        <v>1103</v>
      </c>
      <c r="K645" s="1" t="s">
        <v>902</v>
      </c>
      <c r="L645" s="1">
        <v>33465.440000000002</v>
      </c>
      <c r="M645" s="1">
        <v>5</v>
      </c>
      <c r="N645" s="1">
        <v>0.15</v>
      </c>
      <c r="O645" s="1">
        <v>142228.12</v>
      </c>
      <c r="P645" s="1">
        <v>18834.16</v>
      </c>
    </row>
    <row r="646" spans="1:16" x14ac:dyDescent="0.3">
      <c r="A646" s="1" t="s">
        <v>386</v>
      </c>
      <c r="B646" s="2">
        <v>45982</v>
      </c>
      <c r="C646" s="2" t="str">
        <f>TEXT(E_Commerce_data[[#This Row],[order_date]],"MMM")</f>
        <v>Nov</v>
      </c>
      <c r="D646" s="1" t="s">
        <v>387</v>
      </c>
      <c r="E646" s="1" t="s">
        <v>388</v>
      </c>
      <c r="F646" s="1" t="s">
        <v>26</v>
      </c>
      <c r="G646" s="1" t="s">
        <v>27</v>
      </c>
      <c r="H646" s="2">
        <v>45335</v>
      </c>
      <c r="I646" s="1" t="s">
        <v>315</v>
      </c>
      <c r="J646" s="1" t="s">
        <v>316</v>
      </c>
      <c r="K646" s="1" t="s">
        <v>22</v>
      </c>
      <c r="L646" s="1">
        <v>16937.37</v>
      </c>
      <c r="M646" s="1">
        <v>1</v>
      </c>
      <c r="N646" s="1">
        <v>0.1</v>
      </c>
      <c r="O646" s="1">
        <v>15243.63</v>
      </c>
      <c r="P646" s="1">
        <v>4480.82</v>
      </c>
    </row>
    <row r="647" spans="1:16" x14ac:dyDescent="0.3">
      <c r="A647" s="1" t="s">
        <v>149</v>
      </c>
      <c r="B647" s="2">
        <v>45475</v>
      </c>
      <c r="C647" s="2" t="str">
        <f>TEXT(E_Commerce_data[[#This Row],[order_date]],"MMM")</f>
        <v>Jul</v>
      </c>
      <c r="D647" s="1" t="s">
        <v>150</v>
      </c>
      <c r="E647" s="1" t="s">
        <v>151</v>
      </c>
      <c r="F647" s="1" t="s">
        <v>93</v>
      </c>
      <c r="G647" s="1" t="s">
        <v>27</v>
      </c>
      <c r="H647" s="2">
        <v>45470</v>
      </c>
      <c r="I647" s="1" t="s">
        <v>20</v>
      </c>
      <c r="J647" s="1" t="s">
        <v>21</v>
      </c>
      <c r="K647" s="1" t="s">
        <v>22</v>
      </c>
      <c r="L647" s="1">
        <v>6094.16</v>
      </c>
      <c r="M647" s="1">
        <v>4</v>
      </c>
      <c r="N647" s="1">
        <v>0.2</v>
      </c>
      <c r="O647" s="1">
        <v>19501.310000000001</v>
      </c>
      <c r="P647" s="1">
        <v>6472.75</v>
      </c>
    </row>
    <row r="648" spans="1:16" x14ac:dyDescent="0.3">
      <c r="A648" s="1" t="s">
        <v>295</v>
      </c>
      <c r="B648" s="2">
        <v>45538</v>
      </c>
      <c r="C648" s="2" t="str">
        <f>TEXT(E_Commerce_data[[#This Row],[order_date]],"MMM")</f>
        <v>Sep</v>
      </c>
      <c r="D648" s="1" t="s">
        <v>248</v>
      </c>
      <c r="E648" s="1" t="s">
        <v>249</v>
      </c>
      <c r="F648" s="1" t="s">
        <v>72</v>
      </c>
      <c r="G648" s="1" t="s">
        <v>48</v>
      </c>
      <c r="H648" s="2">
        <v>45619</v>
      </c>
      <c r="I648" s="1" t="s">
        <v>215</v>
      </c>
      <c r="J648" s="1" t="s">
        <v>216</v>
      </c>
      <c r="K648" s="1" t="s">
        <v>22</v>
      </c>
      <c r="L648" s="1">
        <v>11273.63</v>
      </c>
      <c r="M648" s="1">
        <v>1</v>
      </c>
      <c r="N648" s="1">
        <v>0</v>
      </c>
      <c r="O648" s="1">
        <v>11273.63</v>
      </c>
      <c r="P648" s="1">
        <v>2337.1999999999998</v>
      </c>
    </row>
    <row r="649" spans="1:16" x14ac:dyDescent="0.3">
      <c r="A649" s="1" t="s">
        <v>389</v>
      </c>
      <c r="B649" s="2">
        <v>45654</v>
      </c>
      <c r="C649" s="2" t="str">
        <f>TEXT(E_Commerce_data[[#This Row],[order_date]],"MMM")</f>
        <v>Dec</v>
      </c>
      <c r="D649" s="1" t="s">
        <v>248</v>
      </c>
      <c r="E649" s="1" t="s">
        <v>249</v>
      </c>
      <c r="F649" s="1" t="s">
        <v>72</v>
      </c>
      <c r="G649" s="1" t="s">
        <v>48</v>
      </c>
      <c r="H649" s="2">
        <v>45619</v>
      </c>
      <c r="I649" s="1" t="s">
        <v>315</v>
      </c>
      <c r="J649" s="1" t="s">
        <v>316</v>
      </c>
      <c r="K649" s="1" t="s">
        <v>22</v>
      </c>
      <c r="L649" s="1">
        <v>16937.37</v>
      </c>
      <c r="M649" s="1">
        <v>2</v>
      </c>
      <c r="N649" s="1">
        <v>0.1</v>
      </c>
      <c r="O649" s="1">
        <v>30487.27</v>
      </c>
      <c r="P649" s="1">
        <v>6339.43</v>
      </c>
    </row>
    <row r="650" spans="1:16" x14ac:dyDescent="0.3">
      <c r="A650" s="1" t="s">
        <v>1141</v>
      </c>
      <c r="B650" s="2">
        <v>45674</v>
      </c>
      <c r="C650" s="2" t="str">
        <f>TEXT(E_Commerce_data[[#This Row],[order_date]],"MMM")</f>
        <v>Jan</v>
      </c>
      <c r="D650" s="1" t="s">
        <v>50</v>
      </c>
      <c r="E650" s="1" t="s">
        <v>51</v>
      </c>
      <c r="F650" s="1" t="s">
        <v>47</v>
      </c>
      <c r="G650" s="1" t="s">
        <v>48</v>
      </c>
      <c r="H650" s="2">
        <v>45041</v>
      </c>
      <c r="I650" s="1" t="s">
        <v>1102</v>
      </c>
      <c r="J650" s="1" t="s">
        <v>1103</v>
      </c>
      <c r="K650" s="1" t="s">
        <v>902</v>
      </c>
      <c r="L650" s="1">
        <v>33465.440000000002</v>
      </c>
      <c r="M650" s="1">
        <v>3</v>
      </c>
      <c r="N650" s="1">
        <v>0.2</v>
      </c>
      <c r="O650" s="1">
        <v>80317.06</v>
      </c>
      <c r="P650" s="1">
        <v>13579.12</v>
      </c>
    </row>
    <row r="651" spans="1:16" x14ac:dyDescent="0.3">
      <c r="A651" s="1" t="s">
        <v>538</v>
      </c>
      <c r="B651" s="2">
        <v>46005</v>
      </c>
      <c r="C651" s="2" t="str">
        <f>TEXT(E_Commerce_data[[#This Row],[order_date]],"MMM")</f>
        <v>Dec</v>
      </c>
      <c r="D651" s="1" t="s">
        <v>165</v>
      </c>
      <c r="E651" s="1" t="s">
        <v>166</v>
      </c>
      <c r="F651" s="1" t="s">
        <v>36</v>
      </c>
      <c r="G651" s="1" t="s">
        <v>32</v>
      </c>
      <c r="H651" s="2">
        <v>45039</v>
      </c>
      <c r="I651" s="1" t="s">
        <v>489</v>
      </c>
      <c r="J651" s="1" t="s">
        <v>490</v>
      </c>
      <c r="K651" s="1" t="s">
        <v>22</v>
      </c>
      <c r="L651" s="1">
        <v>11544.23</v>
      </c>
      <c r="M651" s="1">
        <v>4</v>
      </c>
      <c r="N651" s="1">
        <v>0.05</v>
      </c>
      <c r="O651" s="1">
        <v>43868.07</v>
      </c>
      <c r="P651" s="1">
        <v>9629.07</v>
      </c>
    </row>
    <row r="652" spans="1:16" x14ac:dyDescent="0.3">
      <c r="A652" s="1" t="s">
        <v>152</v>
      </c>
      <c r="B652" s="2">
        <v>45374</v>
      </c>
      <c r="C652" s="2" t="str">
        <f>TEXT(E_Commerce_data[[#This Row],[order_date]],"MMM")</f>
        <v>Mar</v>
      </c>
      <c r="D652" s="1" t="s">
        <v>153</v>
      </c>
      <c r="E652" s="1" t="s">
        <v>154</v>
      </c>
      <c r="F652" s="1" t="s">
        <v>43</v>
      </c>
      <c r="G652" s="1" t="s">
        <v>32</v>
      </c>
      <c r="H652" s="2">
        <v>45073</v>
      </c>
      <c r="I652" s="1" t="s">
        <v>20</v>
      </c>
      <c r="J652" s="1" t="s">
        <v>21</v>
      </c>
      <c r="K652" s="1" t="s">
        <v>22</v>
      </c>
      <c r="L652" s="1">
        <v>6094.16</v>
      </c>
      <c r="M652" s="1">
        <v>2</v>
      </c>
      <c r="N652" s="1">
        <v>0</v>
      </c>
      <c r="O652" s="1">
        <v>12188.32</v>
      </c>
      <c r="P652" s="1">
        <v>3110.61</v>
      </c>
    </row>
    <row r="653" spans="1:16" x14ac:dyDescent="0.3">
      <c r="A653" s="1" t="s">
        <v>679</v>
      </c>
      <c r="B653" s="2">
        <v>45678</v>
      </c>
      <c r="C653" s="2" t="str">
        <f>TEXT(E_Commerce_data[[#This Row],[order_date]],"MMM")</f>
        <v>Jan</v>
      </c>
      <c r="D653" s="1" t="s">
        <v>153</v>
      </c>
      <c r="E653" s="1" t="s">
        <v>154</v>
      </c>
      <c r="F653" s="1" t="s">
        <v>43</v>
      </c>
      <c r="G653" s="1" t="s">
        <v>32</v>
      </c>
      <c r="H653" s="2">
        <v>45073</v>
      </c>
      <c r="I653" s="1" t="s">
        <v>633</v>
      </c>
      <c r="J653" s="1" t="s">
        <v>634</v>
      </c>
      <c r="K653" s="1" t="s">
        <v>560</v>
      </c>
      <c r="L653" s="1">
        <v>3596.1</v>
      </c>
      <c r="M653" s="1">
        <v>1</v>
      </c>
      <c r="N653" s="1">
        <v>0</v>
      </c>
      <c r="O653" s="1">
        <v>3596.1</v>
      </c>
      <c r="P653" s="1">
        <v>617.03</v>
      </c>
    </row>
    <row r="654" spans="1:16" x14ac:dyDescent="0.3">
      <c r="A654" s="1" t="s">
        <v>1222</v>
      </c>
      <c r="B654" s="2">
        <v>45301</v>
      </c>
      <c r="C654" s="2" t="str">
        <f>TEXT(E_Commerce_data[[#This Row],[order_date]],"MMM")</f>
        <v>Jan</v>
      </c>
      <c r="D654" s="1" t="s">
        <v>324</v>
      </c>
      <c r="E654" s="1" t="s">
        <v>325</v>
      </c>
      <c r="F654" s="1" t="s">
        <v>55</v>
      </c>
      <c r="G654" s="1" t="s">
        <v>27</v>
      </c>
      <c r="H654" s="2">
        <v>45473</v>
      </c>
      <c r="I654" s="1" t="s">
        <v>1162</v>
      </c>
      <c r="J654" s="1" t="s">
        <v>1163</v>
      </c>
      <c r="K654" s="1" t="s">
        <v>902</v>
      </c>
      <c r="L654" s="1">
        <v>10751.13</v>
      </c>
      <c r="M654" s="1">
        <v>5</v>
      </c>
      <c r="N654" s="1">
        <v>0.05</v>
      </c>
      <c r="O654" s="1">
        <v>51067.87</v>
      </c>
      <c r="P654" s="1">
        <v>3413.09</v>
      </c>
    </row>
    <row r="655" spans="1:16" x14ac:dyDescent="0.3">
      <c r="A655" s="1" t="s">
        <v>1142</v>
      </c>
      <c r="B655" s="2">
        <v>45736</v>
      </c>
      <c r="C655" s="2" t="str">
        <f>TEXT(E_Commerce_data[[#This Row],[order_date]],"MMM")</f>
        <v>Mar</v>
      </c>
      <c r="D655" s="1" t="s">
        <v>34</v>
      </c>
      <c r="E655" s="1" t="s">
        <v>35</v>
      </c>
      <c r="F655" s="1" t="s">
        <v>36</v>
      </c>
      <c r="G655" s="1" t="s">
        <v>32</v>
      </c>
      <c r="H655" s="2">
        <v>45041</v>
      </c>
      <c r="I655" s="1" t="s">
        <v>1102</v>
      </c>
      <c r="J655" s="1" t="s">
        <v>1103</v>
      </c>
      <c r="K655" s="1" t="s">
        <v>902</v>
      </c>
      <c r="L655" s="1">
        <v>33465.440000000002</v>
      </c>
      <c r="M655" s="1">
        <v>2</v>
      </c>
      <c r="N655" s="1">
        <v>0</v>
      </c>
      <c r="O655" s="1">
        <v>66930.880000000005</v>
      </c>
      <c r="P655" s="1">
        <v>13383.33</v>
      </c>
    </row>
    <row r="656" spans="1:16" x14ac:dyDescent="0.3">
      <c r="A656" s="1" t="s">
        <v>296</v>
      </c>
      <c r="B656" s="2">
        <v>45389</v>
      </c>
      <c r="C656" s="2" t="str">
        <f>TEXT(E_Commerce_data[[#This Row],[order_date]],"MMM")</f>
        <v>Apr</v>
      </c>
      <c r="D656" s="1" t="s">
        <v>297</v>
      </c>
      <c r="E656" s="1" t="s">
        <v>298</v>
      </c>
      <c r="F656" s="1" t="s">
        <v>47</v>
      </c>
      <c r="G656" s="1" t="s">
        <v>48</v>
      </c>
      <c r="H656" s="2">
        <v>45092</v>
      </c>
      <c r="I656" s="1" t="s">
        <v>215</v>
      </c>
      <c r="J656" s="1" t="s">
        <v>216</v>
      </c>
      <c r="K656" s="1" t="s">
        <v>22</v>
      </c>
      <c r="L656" s="1">
        <v>11273.63</v>
      </c>
      <c r="M656" s="1">
        <v>3</v>
      </c>
      <c r="N656" s="1">
        <v>0.1</v>
      </c>
      <c r="O656" s="1">
        <v>30438.799999999999</v>
      </c>
      <c r="P656" s="1">
        <v>10446.56</v>
      </c>
    </row>
    <row r="657" spans="1:16" x14ac:dyDescent="0.3">
      <c r="A657" s="1" t="s">
        <v>299</v>
      </c>
      <c r="B657" s="2">
        <v>46000</v>
      </c>
      <c r="C657" s="2" t="str">
        <f>TEXT(E_Commerce_data[[#This Row],[order_date]],"MMM")</f>
        <v>Dec</v>
      </c>
      <c r="D657" s="1" t="s">
        <v>24</v>
      </c>
      <c r="E657" s="1" t="s">
        <v>25</v>
      </c>
      <c r="F657" s="1" t="s">
        <v>26</v>
      </c>
      <c r="G657" s="1" t="s">
        <v>27</v>
      </c>
      <c r="H657" s="2">
        <v>45069</v>
      </c>
      <c r="I657" s="1" t="s">
        <v>215</v>
      </c>
      <c r="J657" s="1" t="s">
        <v>216</v>
      </c>
      <c r="K657" s="1" t="s">
        <v>22</v>
      </c>
      <c r="L657" s="1">
        <v>11273.63</v>
      </c>
      <c r="M657" s="1">
        <v>5</v>
      </c>
      <c r="N657" s="1">
        <v>0</v>
      </c>
      <c r="O657" s="1">
        <v>56368.15</v>
      </c>
      <c r="P657" s="1">
        <v>6703.86</v>
      </c>
    </row>
    <row r="658" spans="1:16" x14ac:dyDescent="0.3">
      <c r="A658" s="1" t="s">
        <v>680</v>
      </c>
      <c r="B658" s="2">
        <v>45368</v>
      </c>
      <c r="C658" s="2" t="str">
        <f>TEXT(E_Commerce_data[[#This Row],[order_date]],"MMM")</f>
        <v>Mar</v>
      </c>
      <c r="D658" s="1" t="s">
        <v>38</v>
      </c>
      <c r="E658" s="1" t="s">
        <v>39</v>
      </c>
      <c r="F658" s="1" t="s">
        <v>18</v>
      </c>
      <c r="G658" s="1" t="s">
        <v>19</v>
      </c>
      <c r="H658" s="2">
        <v>45069</v>
      </c>
      <c r="I658" s="1" t="s">
        <v>633</v>
      </c>
      <c r="J658" s="1" t="s">
        <v>634</v>
      </c>
      <c r="K658" s="1" t="s">
        <v>560</v>
      </c>
      <c r="L658" s="1">
        <v>3596.1</v>
      </c>
      <c r="M658" s="1">
        <v>5</v>
      </c>
      <c r="N658" s="1">
        <v>0.05</v>
      </c>
      <c r="O658" s="1">
        <v>17081.47</v>
      </c>
      <c r="P658" s="1">
        <v>2243.2800000000002</v>
      </c>
    </row>
    <row r="659" spans="1:16" x14ac:dyDescent="0.3">
      <c r="A659" s="1" t="s">
        <v>390</v>
      </c>
      <c r="B659" s="2">
        <v>45325</v>
      </c>
      <c r="C659" s="2" t="str">
        <f>TEXT(E_Commerce_data[[#This Row],[order_date]],"MMM")</f>
        <v>Feb</v>
      </c>
      <c r="D659" s="1" t="s">
        <v>225</v>
      </c>
      <c r="E659" s="1" t="s">
        <v>226</v>
      </c>
      <c r="F659" s="1" t="s">
        <v>76</v>
      </c>
      <c r="G659" s="1" t="s">
        <v>32</v>
      </c>
      <c r="H659" s="2">
        <v>45335</v>
      </c>
      <c r="I659" s="1" t="s">
        <v>315</v>
      </c>
      <c r="J659" s="1" t="s">
        <v>316</v>
      </c>
      <c r="K659" s="1" t="s">
        <v>22</v>
      </c>
      <c r="L659" s="1">
        <v>16937.37</v>
      </c>
      <c r="M659" s="1">
        <v>3</v>
      </c>
      <c r="N659" s="1">
        <v>0.1</v>
      </c>
      <c r="O659" s="1">
        <v>45730.9</v>
      </c>
      <c r="P659" s="1">
        <v>10017.49</v>
      </c>
    </row>
    <row r="660" spans="1:16" x14ac:dyDescent="0.3">
      <c r="A660" s="1" t="s">
        <v>300</v>
      </c>
      <c r="B660" s="2">
        <v>45504</v>
      </c>
      <c r="C660" s="2" t="str">
        <f>TEXT(E_Commerce_data[[#This Row],[order_date]],"MMM")</f>
        <v>Jul</v>
      </c>
      <c r="D660" s="1" t="s">
        <v>96</v>
      </c>
      <c r="E660" s="1" t="s">
        <v>97</v>
      </c>
      <c r="F660" s="1" t="s">
        <v>18</v>
      </c>
      <c r="G660" s="1" t="s">
        <v>19</v>
      </c>
      <c r="H660" s="2">
        <v>45094</v>
      </c>
      <c r="I660" s="1" t="s">
        <v>215</v>
      </c>
      <c r="J660" s="1" t="s">
        <v>216</v>
      </c>
      <c r="K660" s="1" t="s">
        <v>22</v>
      </c>
      <c r="L660" s="1">
        <v>11273.63</v>
      </c>
      <c r="M660" s="1">
        <v>2</v>
      </c>
      <c r="N660" s="1">
        <v>0.2</v>
      </c>
      <c r="O660" s="1">
        <v>18037.810000000001</v>
      </c>
      <c r="P660" s="1">
        <v>2603.6799999999998</v>
      </c>
    </row>
    <row r="661" spans="1:16" x14ac:dyDescent="0.3">
      <c r="A661" s="1" t="s">
        <v>391</v>
      </c>
      <c r="B661" s="2">
        <v>46021</v>
      </c>
      <c r="C661" s="2" t="str">
        <f>TEXT(E_Commerce_data[[#This Row],[order_date]],"MMM")</f>
        <v>Dec</v>
      </c>
      <c r="D661" s="1" t="s">
        <v>392</v>
      </c>
      <c r="E661" s="1" t="s">
        <v>393</v>
      </c>
      <c r="F661" s="1" t="s">
        <v>76</v>
      </c>
      <c r="G661" s="1" t="s">
        <v>32</v>
      </c>
      <c r="H661" s="2">
        <v>45197</v>
      </c>
      <c r="I661" s="1" t="s">
        <v>315</v>
      </c>
      <c r="J661" s="1" t="s">
        <v>316</v>
      </c>
      <c r="K661" s="1" t="s">
        <v>22</v>
      </c>
      <c r="L661" s="1">
        <v>16937.37</v>
      </c>
      <c r="M661" s="1">
        <v>5</v>
      </c>
      <c r="N661" s="1">
        <v>0</v>
      </c>
      <c r="O661" s="1">
        <v>84686.85</v>
      </c>
      <c r="P661" s="1">
        <v>23346.16</v>
      </c>
    </row>
    <row r="662" spans="1:16" x14ac:dyDescent="0.3">
      <c r="A662" s="1" t="s">
        <v>608</v>
      </c>
      <c r="B662" s="2">
        <v>45869</v>
      </c>
      <c r="C662" s="2" t="str">
        <f>TEXT(E_Commerce_data[[#This Row],[order_date]],"MMM")</f>
        <v>Jul</v>
      </c>
      <c r="D662" s="1" t="s">
        <v>132</v>
      </c>
      <c r="E662" s="1" t="s">
        <v>133</v>
      </c>
      <c r="F662" s="1" t="s">
        <v>76</v>
      </c>
      <c r="G662" s="1" t="s">
        <v>32</v>
      </c>
      <c r="H662" s="2">
        <v>45359</v>
      </c>
      <c r="I662" s="1" t="s">
        <v>558</v>
      </c>
      <c r="J662" s="1" t="s">
        <v>559</v>
      </c>
      <c r="K662" s="1" t="s">
        <v>560</v>
      </c>
      <c r="L662" s="1">
        <v>11049.86</v>
      </c>
      <c r="M662" s="1">
        <v>4</v>
      </c>
      <c r="N662" s="1">
        <v>0</v>
      </c>
      <c r="O662" s="1">
        <v>44199.44</v>
      </c>
      <c r="P662" s="1">
        <v>6178.33</v>
      </c>
    </row>
    <row r="663" spans="1:16" x14ac:dyDescent="0.3">
      <c r="A663" s="1" t="s">
        <v>738</v>
      </c>
      <c r="B663" s="2">
        <v>45690</v>
      </c>
      <c r="C663" s="2" t="str">
        <f>TEXT(E_Commerce_data[[#This Row],[order_date]],"MMM")</f>
        <v>Feb</v>
      </c>
      <c r="D663" s="1" t="s">
        <v>248</v>
      </c>
      <c r="E663" s="1" t="s">
        <v>249</v>
      </c>
      <c r="F663" s="1" t="s">
        <v>72</v>
      </c>
      <c r="G663" s="1" t="s">
        <v>48</v>
      </c>
      <c r="H663" s="2">
        <v>45619</v>
      </c>
      <c r="I663" s="1" t="s">
        <v>706</v>
      </c>
      <c r="J663" s="1" t="s">
        <v>707</v>
      </c>
      <c r="K663" s="1" t="s">
        <v>560</v>
      </c>
      <c r="L663" s="1">
        <v>31573.59</v>
      </c>
      <c r="M663" s="1">
        <v>2</v>
      </c>
      <c r="N663" s="1">
        <v>0.1</v>
      </c>
      <c r="O663" s="1">
        <v>56832.46</v>
      </c>
      <c r="P663" s="1">
        <v>17072.2</v>
      </c>
    </row>
    <row r="664" spans="1:16" x14ac:dyDescent="0.3">
      <c r="A664" s="1" t="s">
        <v>876</v>
      </c>
      <c r="B664" s="2">
        <v>45435</v>
      </c>
      <c r="C664" s="2" t="str">
        <f>TEXT(E_Commerce_data[[#This Row],[order_date]],"MMM")</f>
        <v>May</v>
      </c>
      <c r="D664" s="1" t="s">
        <v>129</v>
      </c>
      <c r="E664" s="1" t="s">
        <v>130</v>
      </c>
      <c r="F664" s="1" t="s">
        <v>72</v>
      </c>
      <c r="G664" s="1" t="s">
        <v>48</v>
      </c>
      <c r="H664" s="2">
        <v>45021</v>
      </c>
      <c r="I664" s="1" t="s">
        <v>822</v>
      </c>
      <c r="J664" s="1" t="s">
        <v>823</v>
      </c>
      <c r="K664" s="1" t="s">
        <v>560</v>
      </c>
      <c r="L664" s="1">
        <v>45275.73</v>
      </c>
      <c r="M664" s="1">
        <v>5</v>
      </c>
      <c r="N664" s="1">
        <v>0</v>
      </c>
      <c r="O664" s="1">
        <v>226378.65</v>
      </c>
      <c r="P664" s="1">
        <v>37387.31</v>
      </c>
    </row>
    <row r="665" spans="1:16" x14ac:dyDescent="0.3">
      <c r="A665" s="1" t="s">
        <v>394</v>
      </c>
      <c r="B665" s="2">
        <v>45646</v>
      </c>
      <c r="C665" s="2" t="str">
        <f>TEXT(E_Commerce_data[[#This Row],[order_date]],"MMM")</f>
        <v>Dec</v>
      </c>
      <c r="D665" s="1" t="s">
        <v>41</v>
      </c>
      <c r="E665" s="1" t="s">
        <v>42</v>
      </c>
      <c r="F665" s="1" t="s">
        <v>43</v>
      </c>
      <c r="G665" s="1" t="s">
        <v>32</v>
      </c>
      <c r="H665" s="2">
        <v>45020</v>
      </c>
      <c r="I665" s="1" t="s">
        <v>315</v>
      </c>
      <c r="J665" s="1" t="s">
        <v>316</v>
      </c>
      <c r="K665" s="1" t="s">
        <v>22</v>
      </c>
      <c r="L665" s="1">
        <v>16937.37</v>
      </c>
      <c r="M665" s="1">
        <v>1</v>
      </c>
      <c r="N665" s="1">
        <v>0.1</v>
      </c>
      <c r="O665" s="1">
        <v>15243.63</v>
      </c>
      <c r="P665" s="1">
        <v>4171.22</v>
      </c>
    </row>
    <row r="666" spans="1:16" x14ac:dyDescent="0.3">
      <c r="A666" s="1" t="s">
        <v>395</v>
      </c>
      <c r="B666" s="2">
        <v>45369</v>
      </c>
      <c r="C666" s="2" t="str">
        <f>TEXT(E_Commerce_data[[#This Row],[order_date]],"MMM")</f>
        <v>Mar</v>
      </c>
      <c r="D666" s="1" t="s">
        <v>38</v>
      </c>
      <c r="E666" s="1" t="s">
        <v>39</v>
      </c>
      <c r="F666" s="1" t="s">
        <v>18</v>
      </c>
      <c r="G666" s="1" t="s">
        <v>19</v>
      </c>
      <c r="H666" s="2">
        <v>45069</v>
      </c>
      <c r="I666" s="1" t="s">
        <v>315</v>
      </c>
      <c r="J666" s="1" t="s">
        <v>316</v>
      </c>
      <c r="K666" s="1" t="s">
        <v>22</v>
      </c>
      <c r="L666" s="1">
        <v>16937.37</v>
      </c>
      <c r="M666" s="1">
        <v>1</v>
      </c>
      <c r="N666" s="1">
        <v>0</v>
      </c>
      <c r="O666" s="1">
        <v>16937.37</v>
      </c>
      <c r="P666" s="1">
        <v>3067.81</v>
      </c>
    </row>
    <row r="667" spans="1:16" x14ac:dyDescent="0.3">
      <c r="A667" s="1" t="s">
        <v>877</v>
      </c>
      <c r="B667" s="2">
        <v>45901</v>
      </c>
      <c r="C667" s="2" t="str">
        <f>TEXT(E_Commerce_data[[#This Row],[order_date]],"MMM")</f>
        <v>Sep</v>
      </c>
      <c r="D667" s="1" t="s">
        <v>156</v>
      </c>
      <c r="E667" s="1" t="s">
        <v>157</v>
      </c>
      <c r="F667" s="1" t="s">
        <v>26</v>
      </c>
      <c r="G667" s="1" t="s">
        <v>27</v>
      </c>
      <c r="H667" s="2">
        <v>45391</v>
      </c>
      <c r="I667" s="1" t="s">
        <v>822</v>
      </c>
      <c r="J667" s="1" t="s">
        <v>823</v>
      </c>
      <c r="K667" s="1" t="s">
        <v>560</v>
      </c>
      <c r="L667" s="1">
        <v>45275.73</v>
      </c>
      <c r="M667" s="1">
        <v>3</v>
      </c>
      <c r="N667" s="1">
        <v>0.1</v>
      </c>
      <c r="O667" s="1">
        <v>122244.47</v>
      </c>
      <c r="P667" s="1">
        <v>34314.230000000003</v>
      </c>
    </row>
    <row r="668" spans="1:16" x14ac:dyDescent="0.3">
      <c r="A668" s="1" t="s">
        <v>878</v>
      </c>
      <c r="B668" s="2">
        <v>45941</v>
      </c>
      <c r="C668" s="2" t="str">
        <f>TEXT(E_Commerce_data[[#This Row],[order_date]],"MMM")</f>
        <v>Oct</v>
      </c>
      <c r="D668" s="1" t="s">
        <v>243</v>
      </c>
      <c r="E668" s="1" t="s">
        <v>244</v>
      </c>
      <c r="F668" s="1" t="s">
        <v>18</v>
      </c>
      <c r="G668" s="1" t="s">
        <v>19</v>
      </c>
      <c r="H668" s="2">
        <v>45223</v>
      </c>
      <c r="I668" s="1" t="s">
        <v>822</v>
      </c>
      <c r="J668" s="1" t="s">
        <v>823</v>
      </c>
      <c r="K668" s="1" t="s">
        <v>560</v>
      </c>
      <c r="L668" s="1">
        <v>45275.73</v>
      </c>
      <c r="M668" s="1">
        <v>4</v>
      </c>
      <c r="N668" s="1">
        <v>0.2</v>
      </c>
      <c r="O668" s="1">
        <v>144882.34</v>
      </c>
      <c r="P668" s="1">
        <v>21429.98</v>
      </c>
    </row>
    <row r="669" spans="1:16" x14ac:dyDescent="0.3">
      <c r="A669" s="1" t="s">
        <v>1143</v>
      </c>
      <c r="B669" s="2">
        <v>45794</v>
      </c>
      <c r="C669" s="2" t="str">
        <f>TEXT(E_Commerce_data[[#This Row],[order_date]],"MMM")</f>
        <v>May</v>
      </c>
      <c r="D669" s="1" t="s">
        <v>63</v>
      </c>
      <c r="E669" s="1" t="s">
        <v>64</v>
      </c>
      <c r="F669" s="1" t="s">
        <v>18</v>
      </c>
      <c r="G669" s="1" t="s">
        <v>19</v>
      </c>
      <c r="H669" s="2">
        <v>45501</v>
      </c>
      <c r="I669" s="1" t="s">
        <v>1102</v>
      </c>
      <c r="J669" s="1" t="s">
        <v>1103</v>
      </c>
      <c r="K669" s="1" t="s">
        <v>902</v>
      </c>
      <c r="L669" s="1">
        <v>33465.440000000002</v>
      </c>
      <c r="M669" s="1">
        <v>3</v>
      </c>
      <c r="N669" s="1">
        <v>0.2</v>
      </c>
      <c r="O669" s="1">
        <v>80317.06</v>
      </c>
      <c r="P669" s="1">
        <v>27932.33</v>
      </c>
    </row>
    <row r="670" spans="1:16" x14ac:dyDescent="0.3">
      <c r="A670" s="1" t="s">
        <v>1078</v>
      </c>
      <c r="B670" s="2">
        <v>45676</v>
      </c>
      <c r="C670" s="2" t="str">
        <f>TEXT(E_Commerce_data[[#This Row],[order_date]],"MMM")</f>
        <v>Jan</v>
      </c>
      <c r="D670" s="1" t="s">
        <v>66</v>
      </c>
      <c r="E670" s="1" t="s">
        <v>67</v>
      </c>
      <c r="F670" s="1" t="s">
        <v>18</v>
      </c>
      <c r="G670" s="1" t="s">
        <v>19</v>
      </c>
      <c r="H670" s="2">
        <v>45657</v>
      </c>
      <c r="I670" s="1" t="s">
        <v>1034</v>
      </c>
      <c r="J670" s="1" t="s">
        <v>1035</v>
      </c>
      <c r="K670" s="1" t="s">
        <v>902</v>
      </c>
      <c r="L670" s="1">
        <v>11938.33</v>
      </c>
      <c r="M670" s="1">
        <v>2</v>
      </c>
      <c r="N670" s="1">
        <v>0</v>
      </c>
      <c r="O670" s="1">
        <v>23876.66</v>
      </c>
      <c r="P670" s="1">
        <v>5155.24</v>
      </c>
    </row>
    <row r="671" spans="1:16" x14ac:dyDescent="0.3">
      <c r="A671" s="1" t="s">
        <v>301</v>
      </c>
      <c r="B671" s="2">
        <v>45968</v>
      </c>
      <c r="C671" s="2" t="str">
        <f>TEXT(E_Commerce_data[[#This Row],[order_date]],"MMM")</f>
        <v>Nov</v>
      </c>
      <c r="D671" s="1" t="s">
        <v>139</v>
      </c>
      <c r="E671" s="1" t="s">
        <v>140</v>
      </c>
      <c r="F671" s="1" t="s">
        <v>47</v>
      </c>
      <c r="G671" s="1" t="s">
        <v>48</v>
      </c>
      <c r="H671" s="2">
        <v>44984</v>
      </c>
      <c r="I671" s="1" t="s">
        <v>215</v>
      </c>
      <c r="J671" s="1" t="s">
        <v>216</v>
      </c>
      <c r="K671" s="1" t="s">
        <v>22</v>
      </c>
      <c r="L671" s="1">
        <v>11273.63</v>
      </c>
      <c r="M671" s="1">
        <v>4</v>
      </c>
      <c r="N671" s="1">
        <v>0</v>
      </c>
      <c r="O671" s="1">
        <v>45094.52</v>
      </c>
      <c r="P671" s="1">
        <v>11449.88</v>
      </c>
    </row>
    <row r="672" spans="1:16" x14ac:dyDescent="0.3">
      <c r="A672" s="1" t="s">
        <v>302</v>
      </c>
      <c r="B672" s="2">
        <v>45594</v>
      </c>
      <c r="C672" s="2" t="str">
        <f>TEXT(E_Commerce_data[[#This Row],[order_date]],"MMM")</f>
        <v>Oct</v>
      </c>
      <c r="D672" s="1" t="s">
        <v>45</v>
      </c>
      <c r="E672" s="1" t="s">
        <v>46</v>
      </c>
      <c r="F672" s="1" t="s">
        <v>47</v>
      </c>
      <c r="G672" s="1" t="s">
        <v>48</v>
      </c>
      <c r="H672" s="2">
        <v>45290</v>
      </c>
      <c r="I672" s="1" t="s">
        <v>215</v>
      </c>
      <c r="J672" s="1" t="s">
        <v>216</v>
      </c>
      <c r="K672" s="1" t="s">
        <v>22</v>
      </c>
      <c r="L672" s="1">
        <v>11273.63</v>
      </c>
      <c r="M672" s="1">
        <v>4</v>
      </c>
      <c r="N672" s="1">
        <v>0</v>
      </c>
      <c r="O672" s="1">
        <v>45094.52</v>
      </c>
      <c r="P672" s="1">
        <v>12700.88</v>
      </c>
    </row>
    <row r="673" spans="1:16" x14ac:dyDescent="0.3">
      <c r="A673" s="1" t="s">
        <v>739</v>
      </c>
      <c r="B673" s="2">
        <v>45566</v>
      </c>
      <c r="C673" s="2" t="str">
        <f>TEXT(E_Commerce_data[[#This Row],[order_date]],"MMM")</f>
        <v>Oct</v>
      </c>
      <c r="D673" s="1" t="s">
        <v>514</v>
      </c>
      <c r="E673" s="1" t="s">
        <v>515</v>
      </c>
      <c r="F673" s="1" t="s">
        <v>18</v>
      </c>
      <c r="G673" s="1" t="s">
        <v>19</v>
      </c>
      <c r="H673" s="2">
        <v>45386</v>
      </c>
      <c r="I673" s="1" t="s">
        <v>706</v>
      </c>
      <c r="J673" s="1" t="s">
        <v>707</v>
      </c>
      <c r="K673" s="1" t="s">
        <v>560</v>
      </c>
      <c r="L673" s="1">
        <v>31573.59</v>
      </c>
      <c r="M673" s="1">
        <v>2</v>
      </c>
      <c r="N673" s="1">
        <v>0.15</v>
      </c>
      <c r="O673" s="1">
        <v>53675.1</v>
      </c>
      <c r="P673" s="1">
        <v>3867.4</v>
      </c>
    </row>
    <row r="674" spans="1:16" x14ac:dyDescent="0.3">
      <c r="A674" s="1" t="s">
        <v>303</v>
      </c>
      <c r="B674" s="2">
        <v>45941</v>
      </c>
      <c r="C674" s="2" t="str">
        <f>TEXT(E_Commerce_data[[#This Row],[order_date]],"MMM")</f>
        <v>Oct</v>
      </c>
      <c r="D674" s="1" t="s">
        <v>186</v>
      </c>
      <c r="E674" s="1" t="s">
        <v>187</v>
      </c>
      <c r="F674" s="1" t="s">
        <v>26</v>
      </c>
      <c r="G674" s="1" t="s">
        <v>27</v>
      </c>
      <c r="H674" s="2">
        <v>45493</v>
      </c>
      <c r="I674" s="1" t="s">
        <v>215</v>
      </c>
      <c r="J674" s="1" t="s">
        <v>216</v>
      </c>
      <c r="K674" s="1" t="s">
        <v>22</v>
      </c>
      <c r="L674" s="1">
        <v>11273.63</v>
      </c>
      <c r="M674" s="1">
        <v>2</v>
      </c>
      <c r="N674" s="1">
        <v>0.05</v>
      </c>
      <c r="O674" s="1">
        <v>21419.9</v>
      </c>
      <c r="P674" s="1">
        <v>5644.21</v>
      </c>
    </row>
    <row r="675" spans="1:16" x14ac:dyDescent="0.3">
      <c r="A675" s="1" t="s">
        <v>1144</v>
      </c>
      <c r="B675" s="2">
        <v>45661</v>
      </c>
      <c r="C675" s="2" t="str">
        <f>TEXT(E_Commerce_data[[#This Row],[order_date]],"MMM")</f>
        <v>Jan</v>
      </c>
      <c r="D675" s="1" t="s">
        <v>129</v>
      </c>
      <c r="E675" s="1" t="s">
        <v>130</v>
      </c>
      <c r="F675" s="1" t="s">
        <v>72</v>
      </c>
      <c r="G675" s="1" t="s">
        <v>48</v>
      </c>
      <c r="H675" s="2">
        <v>45021</v>
      </c>
      <c r="I675" s="1" t="s">
        <v>1102</v>
      </c>
      <c r="J675" s="1" t="s">
        <v>1103</v>
      </c>
      <c r="K675" s="1" t="s">
        <v>902</v>
      </c>
      <c r="L675" s="1">
        <v>33465.440000000002</v>
      </c>
      <c r="M675" s="1">
        <v>2</v>
      </c>
      <c r="N675" s="1">
        <v>0.15</v>
      </c>
      <c r="O675" s="1">
        <v>56891.25</v>
      </c>
      <c r="P675" s="1">
        <v>9494.39</v>
      </c>
    </row>
    <row r="676" spans="1:16" x14ac:dyDescent="0.3">
      <c r="A676" s="1" t="s">
        <v>539</v>
      </c>
      <c r="B676" s="2">
        <v>45607</v>
      </c>
      <c r="C676" s="2" t="str">
        <f>TEXT(E_Commerce_data[[#This Row],[order_date]],"MMM")</f>
        <v>Nov</v>
      </c>
      <c r="D676" s="1" t="s">
        <v>45</v>
      </c>
      <c r="E676" s="1" t="s">
        <v>46</v>
      </c>
      <c r="F676" s="1" t="s">
        <v>47</v>
      </c>
      <c r="G676" s="1" t="s">
        <v>48</v>
      </c>
      <c r="H676" s="2">
        <v>45290</v>
      </c>
      <c r="I676" s="1" t="s">
        <v>489</v>
      </c>
      <c r="J676" s="1" t="s">
        <v>490</v>
      </c>
      <c r="K676" s="1" t="s">
        <v>22</v>
      </c>
      <c r="L676" s="1">
        <v>11544.23</v>
      </c>
      <c r="M676" s="1">
        <v>1</v>
      </c>
      <c r="N676" s="1">
        <v>0</v>
      </c>
      <c r="O676" s="1">
        <v>11544.23</v>
      </c>
      <c r="P676" s="1">
        <v>595.20000000000005</v>
      </c>
    </row>
    <row r="677" spans="1:16" x14ac:dyDescent="0.3">
      <c r="A677" s="1" t="s">
        <v>1145</v>
      </c>
      <c r="B677" s="2">
        <v>45396</v>
      </c>
      <c r="C677" s="2" t="str">
        <f>TEXT(E_Commerce_data[[#This Row],[order_date]],"MMM")</f>
        <v>Apr</v>
      </c>
      <c r="D677" s="1" t="s">
        <v>206</v>
      </c>
      <c r="E677" s="1" t="s">
        <v>207</v>
      </c>
      <c r="F677" s="1" t="s">
        <v>72</v>
      </c>
      <c r="G677" s="1" t="s">
        <v>48</v>
      </c>
      <c r="H677" s="2">
        <v>45625</v>
      </c>
      <c r="I677" s="1" t="s">
        <v>1102</v>
      </c>
      <c r="J677" s="1" t="s">
        <v>1103</v>
      </c>
      <c r="K677" s="1" t="s">
        <v>902</v>
      </c>
      <c r="L677" s="1">
        <v>33465.440000000002</v>
      </c>
      <c r="M677" s="1">
        <v>4</v>
      </c>
      <c r="N677" s="1">
        <v>0</v>
      </c>
      <c r="O677" s="1">
        <v>133861.76000000001</v>
      </c>
      <c r="P677" s="1">
        <v>37267.64</v>
      </c>
    </row>
    <row r="678" spans="1:16" x14ac:dyDescent="0.3">
      <c r="A678" s="1" t="s">
        <v>1223</v>
      </c>
      <c r="B678" s="2">
        <v>45751</v>
      </c>
      <c r="C678" s="2" t="str">
        <f>TEXT(E_Commerce_data[[#This Row],[order_date]],"MMM")</f>
        <v>Apr</v>
      </c>
      <c r="D678" s="1" t="s">
        <v>115</v>
      </c>
      <c r="E678" s="1" t="s">
        <v>116</v>
      </c>
      <c r="F678" s="1" t="s">
        <v>93</v>
      </c>
      <c r="G678" s="1" t="s">
        <v>27</v>
      </c>
      <c r="H678" s="2">
        <v>45196</v>
      </c>
      <c r="I678" s="1" t="s">
        <v>1162</v>
      </c>
      <c r="J678" s="1" t="s">
        <v>1163</v>
      </c>
      <c r="K678" s="1" t="s">
        <v>902</v>
      </c>
      <c r="L678" s="1">
        <v>10751.13</v>
      </c>
      <c r="M678" s="1">
        <v>2</v>
      </c>
      <c r="N678" s="1">
        <v>0</v>
      </c>
      <c r="O678" s="1">
        <v>21502.26</v>
      </c>
      <c r="P678" s="1">
        <v>2283.92</v>
      </c>
    </row>
    <row r="679" spans="1:16" x14ac:dyDescent="0.3">
      <c r="A679" s="1" t="s">
        <v>460</v>
      </c>
      <c r="B679" s="2">
        <v>45397</v>
      </c>
      <c r="C679" s="2" t="str">
        <f>TEXT(E_Commerce_data[[#This Row],[order_date]],"MMM")</f>
        <v>Apr</v>
      </c>
      <c r="D679" s="1" t="s">
        <v>66</v>
      </c>
      <c r="E679" s="1" t="s">
        <v>67</v>
      </c>
      <c r="F679" s="1" t="s">
        <v>18</v>
      </c>
      <c r="G679" s="1" t="s">
        <v>19</v>
      </c>
      <c r="H679" s="2">
        <v>45657</v>
      </c>
      <c r="I679" s="1" t="s">
        <v>420</v>
      </c>
      <c r="J679" s="1" t="s">
        <v>421</v>
      </c>
      <c r="K679" s="1" t="s">
        <v>22</v>
      </c>
      <c r="L679" s="1">
        <v>29436.02</v>
      </c>
      <c r="M679" s="1">
        <v>5</v>
      </c>
      <c r="N679" s="1">
        <v>0.1</v>
      </c>
      <c r="O679" s="1">
        <v>132462.09</v>
      </c>
      <c r="P679" s="1">
        <v>26986.799999999999</v>
      </c>
    </row>
    <row r="680" spans="1:16" x14ac:dyDescent="0.3">
      <c r="A680" s="1" t="s">
        <v>941</v>
      </c>
      <c r="B680" s="2">
        <v>45387</v>
      </c>
      <c r="C680" s="2" t="str">
        <f>TEXT(E_Commerce_data[[#This Row],[order_date]],"MMM")</f>
        <v>Apr</v>
      </c>
      <c r="D680" s="1" t="s">
        <v>287</v>
      </c>
      <c r="E680" s="1" t="s">
        <v>288</v>
      </c>
      <c r="F680" s="1" t="s">
        <v>18</v>
      </c>
      <c r="G680" s="1" t="s">
        <v>19</v>
      </c>
      <c r="H680" s="2">
        <v>44959</v>
      </c>
      <c r="I680" s="1" t="s">
        <v>900</v>
      </c>
      <c r="J680" s="1" t="s">
        <v>901</v>
      </c>
      <c r="K680" s="1" t="s">
        <v>902</v>
      </c>
      <c r="L680" s="1">
        <v>42988.79</v>
      </c>
      <c r="M680" s="1">
        <v>1</v>
      </c>
      <c r="N680" s="1">
        <v>0</v>
      </c>
      <c r="O680" s="1">
        <v>42988.79</v>
      </c>
      <c r="P680" s="1">
        <v>6713.74</v>
      </c>
    </row>
    <row r="681" spans="1:16" x14ac:dyDescent="0.3">
      <c r="A681" s="1" t="s">
        <v>801</v>
      </c>
      <c r="B681" s="2">
        <v>45686</v>
      </c>
      <c r="C681" s="2" t="str">
        <f>TEXT(E_Commerce_data[[#This Row],[order_date]],"MMM")</f>
        <v>Jan</v>
      </c>
      <c r="D681" s="1" t="s">
        <v>66</v>
      </c>
      <c r="E681" s="1" t="s">
        <v>67</v>
      </c>
      <c r="F681" s="1" t="s">
        <v>18</v>
      </c>
      <c r="G681" s="1" t="s">
        <v>19</v>
      </c>
      <c r="H681" s="2">
        <v>45657</v>
      </c>
      <c r="I681" s="1" t="s">
        <v>763</v>
      </c>
      <c r="J681" s="1" t="s">
        <v>764</v>
      </c>
      <c r="K681" s="1" t="s">
        <v>560</v>
      </c>
      <c r="L681" s="1">
        <v>11485.64</v>
      </c>
      <c r="M681" s="1">
        <v>5</v>
      </c>
      <c r="N681" s="1">
        <v>0.1</v>
      </c>
      <c r="O681" s="1">
        <v>51685.38</v>
      </c>
      <c r="P681" s="1">
        <v>14747.47</v>
      </c>
    </row>
    <row r="682" spans="1:16" x14ac:dyDescent="0.3">
      <c r="A682" s="1" t="s">
        <v>942</v>
      </c>
      <c r="B682" s="2">
        <v>45378</v>
      </c>
      <c r="C682" s="2" t="str">
        <f>TEXT(E_Commerce_data[[#This Row],[order_date]],"MMM")</f>
        <v>Mar</v>
      </c>
      <c r="D682" s="1" t="s">
        <v>189</v>
      </c>
      <c r="E682" s="1" t="s">
        <v>190</v>
      </c>
      <c r="F682" s="1" t="s">
        <v>26</v>
      </c>
      <c r="G682" s="1" t="s">
        <v>27</v>
      </c>
      <c r="H682" s="2">
        <v>45645</v>
      </c>
      <c r="I682" s="1" t="s">
        <v>900</v>
      </c>
      <c r="J682" s="1" t="s">
        <v>901</v>
      </c>
      <c r="K682" s="1" t="s">
        <v>902</v>
      </c>
      <c r="L682" s="1">
        <v>42988.79</v>
      </c>
      <c r="M682" s="1">
        <v>1</v>
      </c>
      <c r="N682" s="1">
        <v>0</v>
      </c>
      <c r="O682" s="1">
        <v>42988.79</v>
      </c>
      <c r="P682" s="1">
        <v>7486.2</v>
      </c>
    </row>
    <row r="683" spans="1:16" x14ac:dyDescent="0.3">
      <c r="A683" s="1" t="s">
        <v>155</v>
      </c>
      <c r="B683" s="2">
        <v>45465</v>
      </c>
      <c r="C683" s="2" t="str">
        <f>TEXT(E_Commerce_data[[#This Row],[order_date]],"MMM")</f>
        <v>Jun</v>
      </c>
      <c r="D683" s="1" t="s">
        <v>156</v>
      </c>
      <c r="E683" s="1" t="s">
        <v>157</v>
      </c>
      <c r="F683" s="1" t="s">
        <v>26</v>
      </c>
      <c r="G683" s="1" t="s">
        <v>27</v>
      </c>
      <c r="H683" s="2">
        <v>45391</v>
      </c>
      <c r="I683" s="1" t="s">
        <v>20</v>
      </c>
      <c r="J683" s="1" t="s">
        <v>21</v>
      </c>
      <c r="K683" s="1" t="s">
        <v>22</v>
      </c>
      <c r="L683" s="1">
        <v>6094.16</v>
      </c>
      <c r="M683" s="1">
        <v>5</v>
      </c>
      <c r="N683" s="1">
        <v>0</v>
      </c>
      <c r="O683" s="1">
        <v>30470.799999999999</v>
      </c>
      <c r="P683" s="1">
        <v>6751.97</v>
      </c>
    </row>
    <row r="684" spans="1:16" x14ac:dyDescent="0.3">
      <c r="A684" s="1" t="s">
        <v>943</v>
      </c>
      <c r="B684" s="2">
        <v>45600</v>
      </c>
      <c r="C684" s="2" t="str">
        <f>TEXT(E_Commerce_data[[#This Row],[order_date]],"MMM")</f>
        <v>Nov</v>
      </c>
      <c r="D684" s="1" t="s">
        <v>60</v>
      </c>
      <c r="E684" s="1" t="s">
        <v>61</v>
      </c>
      <c r="F684" s="1" t="s">
        <v>18</v>
      </c>
      <c r="G684" s="1" t="s">
        <v>19</v>
      </c>
      <c r="H684" s="2">
        <v>45507</v>
      </c>
      <c r="I684" s="1" t="s">
        <v>900</v>
      </c>
      <c r="J684" s="1" t="s">
        <v>901</v>
      </c>
      <c r="K684" s="1" t="s">
        <v>902</v>
      </c>
      <c r="L684" s="1">
        <v>42988.79</v>
      </c>
      <c r="M684" s="1">
        <v>4</v>
      </c>
      <c r="N684" s="1">
        <v>0</v>
      </c>
      <c r="O684" s="1">
        <v>171955.16</v>
      </c>
      <c r="P684" s="1">
        <v>15760.04</v>
      </c>
    </row>
    <row r="685" spans="1:16" x14ac:dyDescent="0.3">
      <c r="A685" s="1" t="s">
        <v>1224</v>
      </c>
      <c r="B685" s="2">
        <v>45463</v>
      </c>
      <c r="C685" s="2" t="str">
        <f>TEXT(E_Commerce_data[[#This Row],[order_date]],"MMM")</f>
        <v>Jun</v>
      </c>
      <c r="D685" s="1" t="s">
        <v>70</v>
      </c>
      <c r="E685" s="1" t="s">
        <v>71</v>
      </c>
      <c r="F685" s="1" t="s">
        <v>72</v>
      </c>
      <c r="G685" s="1" t="s">
        <v>48</v>
      </c>
      <c r="H685" s="2">
        <v>45150</v>
      </c>
      <c r="I685" s="1" t="s">
        <v>1162</v>
      </c>
      <c r="J685" s="1" t="s">
        <v>1163</v>
      </c>
      <c r="K685" s="1" t="s">
        <v>902</v>
      </c>
      <c r="L685" s="1">
        <v>10751.13</v>
      </c>
      <c r="M685" s="1">
        <v>3</v>
      </c>
      <c r="N685" s="1">
        <v>0.05</v>
      </c>
      <c r="O685" s="1">
        <v>30640.720000000001</v>
      </c>
      <c r="P685" s="1">
        <v>2873.5</v>
      </c>
    </row>
    <row r="686" spans="1:16" x14ac:dyDescent="0.3">
      <c r="A686" s="1" t="s">
        <v>1015</v>
      </c>
      <c r="B686" s="2">
        <v>45787</v>
      </c>
      <c r="C686" s="2" t="str">
        <f>TEXT(E_Commerce_data[[#This Row],[order_date]],"MMM")</f>
        <v>May</v>
      </c>
      <c r="D686" s="1" t="s">
        <v>297</v>
      </c>
      <c r="E686" s="1" t="s">
        <v>298</v>
      </c>
      <c r="F686" s="1" t="s">
        <v>47</v>
      </c>
      <c r="G686" s="1" t="s">
        <v>48</v>
      </c>
      <c r="H686" s="2">
        <v>45092</v>
      </c>
      <c r="I686" s="1" t="s">
        <v>964</v>
      </c>
      <c r="J686" s="1" t="s">
        <v>965</v>
      </c>
      <c r="K686" s="1" t="s">
        <v>902</v>
      </c>
      <c r="L686" s="1">
        <v>3589.32</v>
      </c>
      <c r="M686" s="1">
        <v>4</v>
      </c>
      <c r="N686" s="1">
        <v>0</v>
      </c>
      <c r="O686" s="1">
        <v>14357.28</v>
      </c>
      <c r="P686" s="1">
        <v>2531.63</v>
      </c>
    </row>
    <row r="687" spans="1:16" x14ac:dyDescent="0.3">
      <c r="A687" s="1" t="s">
        <v>461</v>
      </c>
      <c r="B687" s="2">
        <v>45544</v>
      </c>
      <c r="C687" s="2" t="str">
        <f>TEXT(E_Commerce_data[[#This Row],[order_date]],"MMM")</f>
        <v>Sep</v>
      </c>
      <c r="D687" s="1" t="s">
        <v>324</v>
      </c>
      <c r="E687" s="1" t="s">
        <v>325</v>
      </c>
      <c r="F687" s="1" t="s">
        <v>55</v>
      </c>
      <c r="G687" s="1" t="s">
        <v>27</v>
      </c>
      <c r="H687" s="2">
        <v>45473</v>
      </c>
      <c r="I687" s="1" t="s">
        <v>420</v>
      </c>
      <c r="J687" s="1" t="s">
        <v>421</v>
      </c>
      <c r="K687" s="1" t="s">
        <v>22</v>
      </c>
      <c r="L687" s="1">
        <v>29436.02</v>
      </c>
      <c r="M687" s="1">
        <v>1</v>
      </c>
      <c r="N687" s="1">
        <v>0</v>
      </c>
      <c r="O687" s="1">
        <v>29436.02</v>
      </c>
      <c r="P687" s="1">
        <v>3694.51</v>
      </c>
    </row>
    <row r="688" spans="1:16" x14ac:dyDescent="0.3">
      <c r="A688" s="1" t="s">
        <v>396</v>
      </c>
      <c r="B688" s="2">
        <v>45760</v>
      </c>
      <c r="C688" s="2" t="str">
        <f>TEXT(E_Commerce_data[[#This Row],[order_date]],"MMM")</f>
        <v>Apr</v>
      </c>
      <c r="D688" s="1" t="s">
        <v>150</v>
      </c>
      <c r="E688" s="1" t="s">
        <v>151</v>
      </c>
      <c r="F688" s="1" t="s">
        <v>93</v>
      </c>
      <c r="G688" s="1" t="s">
        <v>27</v>
      </c>
      <c r="H688" s="2">
        <v>45470</v>
      </c>
      <c r="I688" s="1" t="s">
        <v>315</v>
      </c>
      <c r="J688" s="1" t="s">
        <v>316</v>
      </c>
      <c r="K688" s="1" t="s">
        <v>22</v>
      </c>
      <c r="L688" s="1">
        <v>16937.37</v>
      </c>
      <c r="M688" s="1">
        <v>4</v>
      </c>
      <c r="N688" s="1">
        <v>0.1</v>
      </c>
      <c r="O688" s="1">
        <v>60974.53</v>
      </c>
      <c r="P688" s="1">
        <v>14329.05</v>
      </c>
    </row>
    <row r="689" spans="1:16" x14ac:dyDescent="0.3">
      <c r="A689" s="1" t="s">
        <v>158</v>
      </c>
      <c r="B689" s="2">
        <v>45697</v>
      </c>
      <c r="C689" s="2" t="str">
        <f>TEXT(E_Commerce_data[[#This Row],[order_date]],"MMM")</f>
        <v>Feb</v>
      </c>
      <c r="D689" s="1" t="s">
        <v>159</v>
      </c>
      <c r="E689" s="1" t="s">
        <v>160</v>
      </c>
      <c r="F689" s="1" t="s">
        <v>76</v>
      </c>
      <c r="G689" s="1" t="s">
        <v>32</v>
      </c>
      <c r="H689" s="2">
        <v>45211</v>
      </c>
      <c r="I689" s="1" t="s">
        <v>20</v>
      </c>
      <c r="J689" s="1" t="s">
        <v>21</v>
      </c>
      <c r="K689" s="1" t="s">
        <v>22</v>
      </c>
      <c r="L689" s="1">
        <v>6094.16</v>
      </c>
      <c r="M689" s="1">
        <v>1</v>
      </c>
      <c r="N689" s="1">
        <v>0</v>
      </c>
      <c r="O689" s="1">
        <v>6094.16</v>
      </c>
      <c r="P689" s="1">
        <v>861.7</v>
      </c>
    </row>
    <row r="690" spans="1:16" x14ac:dyDescent="0.3">
      <c r="A690" s="1" t="s">
        <v>1225</v>
      </c>
      <c r="B690" s="2">
        <v>45629</v>
      </c>
      <c r="C690" s="2" t="str">
        <f>TEXT(E_Commerce_data[[#This Row],[order_date]],"MMM")</f>
        <v>Dec</v>
      </c>
      <c r="D690" s="1" t="s">
        <v>192</v>
      </c>
      <c r="E690" s="1" t="s">
        <v>193</v>
      </c>
      <c r="F690" s="1" t="s">
        <v>55</v>
      </c>
      <c r="G690" s="1" t="s">
        <v>27</v>
      </c>
      <c r="H690" s="2">
        <v>45448</v>
      </c>
      <c r="I690" s="1" t="s">
        <v>1162</v>
      </c>
      <c r="J690" s="1" t="s">
        <v>1163</v>
      </c>
      <c r="K690" s="1" t="s">
        <v>902</v>
      </c>
      <c r="L690" s="1">
        <v>10751.13</v>
      </c>
      <c r="M690" s="1">
        <v>3</v>
      </c>
      <c r="N690" s="1">
        <v>0.2</v>
      </c>
      <c r="O690" s="1">
        <v>25802.71</v>
      </c>
      <c r="P690" s="1">
        <v>6090.93</v>
      </c>
    </row>
    <row r="691" spans="1:16" x14ac:dyDescent="0.3">
      <c r="A691" s="1" t="s">
        <v>462</v>
      </c>
      <c r="B691" s="2">
        <v>45958</v>
      </c>
      <c r="C691" s="2" t="str">
        <f>TEXT(E_Commerce_data[[#This Row],[order_date]],"MMM")</f>
        <v>Oct</v>
      </c>
      <c r="D691" s="1" t="s">
        <v>263</v>
      </c>
      <c r="E691" s="1" t="s">
        <v>264</v>
      </c>
      <c r="F691" s="1" t="s">
        <v>36</v>
      </c>
      <c r="G691" s="1" t="s">
        <v>32</v>
      </c>
      <c r="H691" s="2">
        <v>45397</v>
      </c>
      <c r="I691" s="1" t="s">
        <v>420</v>
      </c>
      <c r="J691" s="1" t="s">
        <v>421</v>
      </c>
      <c r="K691" s="1" t="s">
        <v>22</v>
      </c>
      <c r="L691" s="1">
        <v>29436.02</v>
      </c>
      <c r="M691" s="1">
        <v>4</v>
      </c>
      <c r="N691" s="1">
        <v>0</v>
      </c>
      <c r="O691" s="1">
        <v>117744.08</v>
      </c>
      <c r="P691" s="1">
        <v>21097.96</v>
      </c>
    </row>
    <row r="692" spans="1:16" x14ac:dyDescent="0.3">
      <c r="A692" s="1" t="s">
        <v>304</v>
      </c>
      <c r="B692" s="2">
        <v>45909</v>
      </c>
      <c r="C692" s="2" t="str">
        <f>TEXT(E_Commerce_data[[#This Row],[order_date]],"MMM")</f>
        <v>Sep</v>
      </c>
      <c r="D692" s="1" t="s">
        <v>142</v>
      </c>
      <c r="E692" s="1" t="s">
        <v>143</v>
      </c>
      <c r="F692" s="1" t="s">
        <v>93</v>
      </c>
      <c r="G692" s="1" t="s">
        <v>27</v>
      </c>
      <c r="H692" s="2">
        <v>45109</v>
      </c>
      <c r="I692" s="1" t="s">
        <v>215</v>
      </c>
      <c r="J692" s="1" t="s">
        <v>216</v>
      </c>
      <c r="K692" s="1" t="s">
        <v>22</v>
      </c>
      <c r="L692" s="1">
        <v>11273.63</v>
      </c>
      <c r="M692" s="1">
        <v>5</v>
      </c>
      <c r="N692" s="1">
        <v>0</v>
      </c>
      <c r="O692" s="1">
        <v>56368.15</v>
      </c>
      <c r="P692" s="1">
        <v>7898.9</v>
      </c>
    </row>
    <row r="693" spans="1:16" x14ac:dyDescent="0.3">
      <c r="A693" s="1" t="s">
        <v>1079</v>
      </c>
      <c r="B693" s="2">
        <v>45699</v>
      </c>
      <c r="C693" s="2" t="str">
        <f>TEXT(E_Commerce_data[[#This Row],[order_date]],"MMM")</f>
        <v>Feb</v>
      </c>
      <c r="D693" s="1" t="s">
        <v>139</v>
      </c>
      <c r="E693" s="1" t="s">
        <v>140</v>
      </c>
      <c r="F693" s="1" t="s">
        <v>47</v>
      </c>
      <c r="G693" s="1" t="s">
        <v>48</v>
      </c>
      <c r="H693" s="2">
        <v>44984</v>
      </c>
      <c r="I693" s="1" t="s">
        <v>1034</v>
      </c>
      <c r="J693" s="1" t="s">
        <v>1035</v>
      </c>
      <c r="K693" s="1" t="s">
        <v>902</v>
      </c>
      <c r="L693" s="1">
        <v>11938.33</v>
      </c>
      <c r="M693" s="1">
        <v>2</v>
      </c>
      <c r="N693" s="1">
        <v>0.05</v>
      </c>
      <c r="O693" s="1">
        <v>22682.83</v>
      </c>
      <c r="P693" s="1">
        <v>3272.11</v>
      </c>
    </row>
    <row r="694" spans="1:16" x14ac:dyDescent="0.3">
      <c r="A694" s="1" t="s">
        <v>609</v>
      </c>
      <c r="B694" s="2">
        <v>45940</v>
      </c>
      <c r="C694" s="2" t="str">
        <f>TEXT(E_Commerce_data[[#This Row],[order_date]],"MMM")</f>
        <v>Oct</v>
      </c>
      <c r="D694" s="1" t="s">
        <v>199</v>
      </c>
      <c r="E694" s="1" t="s">
        <v>200</v>
      </c>
      <c r="F694" s="1" t="s">
        <v>36</v>
      </c>
      <c r="G694" s="1" t="s">
        <v>32</v>
      </c>
      <c r="H694" s="2">
        <v>45196</v>
      </c>
      <c r="I694" s="1" t="s">
        <v>558</v>
      </c>
      <c r="J694" s="1" t="s">
        <v>559</v>
      </c>
      <c r="K694" s="1" t="s">
        <v>560</v>
      </c>
      <c r="L694" s="1">
        <v>11049.86</v>
      </c>
      <c r="M694" s="1">
        <v>3</v>
      </c>
      <c r="N694" s="1">
        <v>0</v>
      </c>
      <c r="O694" s="1">
        <v>33149.58</v>
      </c>
      <c r="P694" s="1">
        <v>8965.7099999999991</v>
      </c>
    </row>
    <row r="695" spans="1:16" x14ac:dyDescent="0.3">
      <c r="A695" s="1" t="s">
        <v>681</v>
      </c>
      <c r="B695" s="2">
        <v>45625</v>
      </c>
      <c r="C695" s="2" t="str">
        <f>TEXT(E_Commerce_data[[#This Row],[order_date]],"MMM")</f>
        <v>Nov</v>
      </c>
      <c r="D695" s="1" t="s">
        <v>361</v>
      </c>
      <c r="E695" s="1" t="s">
        <v>362</v>
      </c>
      <c r="F695" s="1" t="s">
        <v>93</v>
      </c>
      <c r="G695" s="1" t="s">
        <v>27</v>
      </c>
      <c r="H695" s="2">
        <v>45227</v>
      </c>
      <c r="I695" s="1" t="s">
        <v>633</v>
      </c>
      <c r="J695" s="1" t="s">
        <v>634</v>
      </c>
      <c r="K695" s="1" t="s">
        <v>560</v>
      </c>
      <c r="L695" s="1">
        <v>3596.1</v>
      </c>
      <c r="M695" s="1">
        <v>4</v>
      </c>
      <c r="N695" s="1">
        <v>0.1</v>
      </c>
      <c r="O695" s="1">
        <v>12945.96</v>
      </c>
      <c r="P695" s="1">
        <v>3684.32</v>
      </c>
    </row>
    <row r="696" spans="1:16" x14ac:dyDescent="0.3">
      <c r="A696" s="1" t="s">
        <v>1080</v>
      </c>
      <c r="B696" s="2">
        <v>45694</v>
      </c>
      <c r="C696" s="2" t="str">
        <f>TEXT(E_Commerce_data[[#This Row],[order_date]],"MMM")</f>
        <v>Feb</v>
      </c>
      <c r="D696" s="1" t="s">
        <v>192</v>
      </c>
      <c r="E696" s="1" t="s">
        <v>193</v>
      </c>
      <c r="F696" s="1" t="s">
        <v>55</v>
      </c>
      <c r="G696" s="1" t="s">
        <v>27</v>
      </c>
      <c r="H696" s="2">
        <v>45448</v>
      </c>
      <c r="I696" s="1" t="s">
        <v>1034</v>
      </c>
      <c r="J696" s="1" t="s">
        <v>1035</v>
      </c>
      <c r="K696" s="1" t="s">
        <v>902</v>
      </c>
      <c r="L696" s="1">
        <v>11938.33</v>
      </c>
      <c r="M696" s="1">
        <v>4</v>
      </c>
      <c r="N696" s="1">
        <v>0</v>
      </c>
      <c r="O696" s="1">
        <v>47753.32</v>
      </c>
      <c r="P696" s="1">
        <v>14084.76</v>
      </c>
    </row>
    <row r="697" spans="1:16" x14ac:dyDescent="0.3">
      <c r="A697" s="1" t="s">
        <v>682</v>
      </c>
      <c r="B697" s="2">
        <v>45496</v>
      </c>
      <c r="C697" s="2" t="str">
        <f>TEXT(E_Commerce_data[[#This Row],[order_date]],"MMM")</f>
        <v>Jul</v>
      </c>
      <c r="D697" s="1" t="s">
        <v>287</v>
      </c>
      <c r="E697" s="1" t="s">
        <v>288</v>
      </c>
      <c r="F697" s="1" t="s">
        <v>18</v>
      </c>
      <c r="G697" s="1" t="s">
        <v>19</v>
      </c>
      <c r="H697" s="2">
        <v>44959</v>
      </c>
      <c r="I697" s="1" t="s">
        <v>633</v>
      </c>
      <c r="J697" s="1" t="s">
        <v>634</v>
      </c>
      <c r="K697" s="1" t="s">
        <v>560</v>
      </c>
      <c r="L697" s="1">
        <v>3596.1</v>
      </c>
      <c r="M697" s="1">
        <v>3</v>
      </c>
      <c r="N697" s="1">
        <v>0</v>
      </c>
      <c r="O697" s="1">
        <v>10788.3</v>
      </c>
      <c r="P697" s="1">
        <v>3556.04</v>
      </c>
    </row>
    <row r="698" spans="1:16" x14ac:dyDescent="0.3">
      <c r="A698" s="1" t="s">
        <v>161</v>
      </c>
      <c r="B698" s="2">
        <v>45855</v>
      </c>
      <c r="C698" s="2" t="str">
        <f>TEXT(E_Commerce_data[[#This Row],[order_date]],"MMM")</f>
        <v>Jul</v>
      </c>
      <c r="D698" s="1" t="s">
        <v>162</v>
      </c>
      <c r="E698" s="1" t="s">
        <v>163</v>
      </c>
      <c r="F698" s="1" t="s">
        <v>93</v>
      </c>
      <c r="G698" s="1" t="s">
        <v>27</v>
      </c>
      <c r="H698" s="2">
        <v>45200</v>
      </c>
      <c r="I698" s="1" t="s">
        <v>20</v>
      </c>
      <c r="J698" s="1" t="s">
        <v>21</v>
      </c>
      <c r="K698" s="1" t="s">
        <v>22</v>
      </c>
      <c r="L698" s="1">
        <v>6094.16</v>
      </c>
      <c r="M698" s="1">
        <v>5</v>
      </c>
      <c r="N698" s="1">
        <v>0.1</v>
      </c>
      <c r="O698" s="1">
        <v>27423.72</v>
      </c>
      <c r="P698" s="1">
        <v>2851.47</v>
      </c>
    </row>
    <row r="699" spans="1:16" x14ac:dyDescent="0.3">
      <c r="A699" s="1" t="s">
        <v>802</v>
      </c>
      <c r="B699" s="2">
        <v>46017</v>
      </c>
      <c r="C699" s="2" t="str">
        <f>TEXT(E_Commerce_data[[#This Row],[order_date]],"MMM")</f>
        <v>Dec</v>
      </c>
      <c r="D699" s="1" t="s">
        <v>38</v>
      </c>
      <c r="E699" s="1" t="s">
        <v>39</v>
      </c>
      <c r="F699" s="1" t="s">
        <v>18</v>
      </c>
      <c r="G699" s="1" t="s">
        <v>19</v>
      </c>
      <c r="H699" s="2">
        <v>45069</v>
      </c>
      <c r="I699" s="1" t="s">
        <v>763</v>
      </c>
      <c r="J699" s="1" t="s">
        <v>764</v>
      </c>
      <c r="K699" s="1" t="s">
        <v>560</v>
      </c>
      <c r="L699" s="1">
        <v>11485.64</v>
      </c>
      <c r="M699" s="1">
        <v>1</v>
      </c>
      <c r="N699" s="1">
        <v>0.15</v>
      </c>
      <c r="O699" s="1">
        <v>9762.7900000000009</v>
      </c>
      <c r="P699" s="1">
        <v>1840.16</v>
      </c>
    </row>
    <row r="700" spans="1:16" x14ac:dyDescent="0.3">
      <c r="A700" s="1" t="s">
        <v>1016</v>
      </c>
      <c r="B700" s="2">
        <v>46001</v>
      </c>
      <c r="C700" s="2" t="str">
        <f>TEXT(E_Commerce_data[[#This Row],[order_date]],"MMM")</f>
        <v>Dec</v>
      </c>
      <c r="D700" s="1" t="s">
        <v>277</v>
      </c>
      <c r="E700" s="1" t="s">
        <v>278</v>
      </c>
      <c r="F700" s="1" t="s">
        <v>43</v>
      </c>
      <c r="G700" s="1" t="s">
        <v>32</v>
      </c>
      <c r="H700" s="2">
        <v>44997</v>
      </c>
      <c r="I700" s="1" t="s">
        <v>964</v>
      </c>
      <c r="J700" s="1" t="s">
        <v>965</v>
      </c>
      <c r="K700" s="1" t="s">
        <v>902</v>
      </c>
      <c r="L700" s="1">
        <v>3589.32</v>
      </c>
      <c r="M700" s="1">
        <v>2</v>
      </c>
      <c r="N700" s="1">
        <v>0.05</v>
      </c>
      <c r="O700" s="1">
        <v>6819.71</v>
      </c>
      <c r="P700" s="1">
        <v>1972.98</v>
      </c>
    </row>
    <row r="701" spans="1:16" x14ac:dyDescent="0.3">
      <c r="A701" s="1" t="s">
        <v>1226</v>
      </c>
      <c r="B701" s="2">
        <v>45710</v>
      </c>
      <c r="C701" s="2" t="str">
        <f>TEXT(E_Commerce_data[[#This Row],[order_date]],"MMM")</f>
        <v>Feb</v>
      </c>
      <c r="D701" s="1" t="s">
        <v>50</v>
      </c>
      <c r="E701" s="1" t="s">
        <v>51</v>
      </c>
      <c r="F701" s="1" t="s">
        <v>47</v>
      </c>
      <c r="G701" s="1" t="s">
        <v>48</v>
      </c>
      <c r="H701" s="2">
        <v>45041</v>
      </c>
      <c r="I701" s="1" t="s">
        <v>1162</v>
      </c>
      <c r="J701" s="1" t="s">
        <v>1163</v>
      </c>
      <c r="K701" s="1" t="s">
        <v>902</v>
      </c>
      <c r="L701" s="1">
        <v>10751.13</v>
      </c>
      <c r="M701" s="1">
        <v>1</v>
      </c>
      <c r="N701" s="1">
        <v>0.2</v>
      </c>
      <c r="O701" s="1">
        <v>8600.9</v>
      </c>
      <c r="P701" s="1">
        <v>2617.5700000000002</v>
      </c>
    </row>
    <row r="702" spans="1:16" x14ac:dyDescent="0.3">
      <c r="A702" s="1" t="s">
        <v>1227</v>
      </c>
      <c r="B702" s="2">
        <v>45539</v>
      </c>
      <c r="C702" s="2" t="str">
        <f>TEXT(E_Commerce_data[[#This Row],[order_date]],"MMM")</f>
        <v>Sep</v>
      </c>
      <c r="D702" s="1" t="s">
        <v>96</v>
      </c>
      <c r="E702" s="1" t="s">
        <v>97</v>
      </c>
      <c r="F702" s="1" t="s">
        <v>18</v>
      </c>
      <c r="G702" s="1" t="s">
        <v>19</v>
      </c>
      <c r="H702" s="2">
        <v>45094</v>
      </c>
      <c r="I702" s="1" t="s">
        <v>1162</v>
      </c>
      <c r="J702" s="1" t="s">
        <v>1163</v>
      </c>
      <c r="K702" s="1" t="s">
        <v>902</v>
      </c>
      <c r="L702" s="1">
        <v>10751.13</v>
      </c>
      <c r="M702" s="1">
        <v>4</v>
      </c>
      <c r="N702" s="1">
        <v>0</v>
      </c>
      <c r="O702" s="1">
        <v>43004.52</v>
      </c>
      <c r="P702" s="1">
        <v>10321.120000000001</v>
      </c>
    </row>
    <row r="703" spans="1:16" x14ac:dyDescent="0.3">
      <c r="A703" s="1" t="s">
        <v>1228</v>
      </c>
      <c r="B703" s="2">
        <v>45725</v>
      </c>
      <c r="C703" s="2" t="str">
        <f>TEXT(E_Commerce_data[[#This Row],[order_date]],"MMM")</f>
        <v>Mar</v>
      </c>
      <c r="D703" s="1" t="s">
        <v>248</v>
      </c>
      <c r="E703" s="1" t="s">
        <v>249</v>
      </c>
      <c r="F703" s="1" t="s">
        <v>72</v>
      </c>
      <c r="G703" s="1" t="s">
        <v>48</v>
      </c>
      <c r="H703" s="2">
        <v>45619</v>
      </c>
      <c r="I703" s="1" t="s">
        <v>1162</v>
      </c>
      <c r="J703" s="1" t="s">
        <v>1163</v>
      </c>
      <c r="K703" s="1" t="s">
        <v>902</v>
      </c>
      <c r="L703" s="1">
        <v>10751.13</v>
      </c>
      <c r="M703" s="1">
        <v>3</v>
      </c>
      <c r="N703" s="1">
        <v>0.15</v>
      </c>
      <c r="O703" s="1">
        <v>27415.38</v>
      </c>
      <c r="P703" s="1">
        <v>2638.54</v>
      </c>
    </row>
    <row r="704" spans="1:16" x14ac:dyDescent="0.3">
      <c r="A704" s="1" t="s">
        <v>463</v>
      </c>
      <c r="B704" s="2">
        <v>45904</v>
      </c>
      <c r="C704" s="2" t="str">
        <f>TEXT(E_Commerce_data[[#This Row],[order_date]],"MMM")</f>
        <v>Sep</v>
      </c>
      <c r="D704" s="1" t="s">
        <v>53</v>
      </c>
      <c r="E704" s="1" t="s">
        <v>54</v>
      </c>
      <c r="F704" s="1" t="s">
        <v>55</v>
      </c>
      <c r="G704" s="1" t="s">
        <v>27</v>
      </c>
      <c r="H704" s="2">
        <v>45623</v>
      </c>
      <c r="I704" s="1" t="s">
        <v>420</v>
      </c>
      <c r="J704" s="1" t="s">
        <v>421</v>
      </c>
      <c r="K704" s="1" t="s">
        <v>22</v>
      </c>
      <c r="L704" s="1">
        <v>29436.02</v>
      </c>
      <c r="M704" s="1">
        <v>4</v>
      </c>
      <c r="N704" s="1">
        <v>0</v>
      </c>
      <c r="O704" s="1">
        <v>117744.08</v>
      </c>
      <c r="P704" s="1">
        <v>21749.69</v>
      </c>
    </row>
    <row r="705" spans="1:16" x14ac:dyDescent="0.3">
      <c r="A705" s="1" t="s">
        <v>610</v>
      </c>
      <c r="B705" s="2">
        <v>45810</v>
      </c>
      <c r="C705" s="2" t="str">
        <f>TEXT(E_Commerce_data[[#This Row],[order_date]],"MMM")</f>
        <v>Jun</v>
      </c>
      <c r="D705" s="1" t="s">
        <v>109</v>
      </c>
      <c r="E705" s="1" t="s">
        <v>110</v>
      </c>
      <c r="F705" s="1" t="s">
        <v>31</v>
      </c>
      <c r="G705" s="1" t="s">
        <v>32</v>
      </c>
      <c r="H705" s="2">
        <v>45026</v>
      </c>
      <c r="I705" s="1" t="s">
        <v>558</v>
      </c>
      <c r="J705" s="1" t="s">
        <v>559</v>
      </c>
      <c r="K705" s="1" t="s">
        <v>560</v>
      </c>
      <c r="L705" s="1">
        <v>11049.86</v>
      </c>
      <c r="M705" s="1">
        <v>4</v>
      </c>
      <c r="N705" s="1">
        <v>0.1</v>
      </c>
      <c r="O705" s="1">
        <v>39779.5</v>
      </c>
      <c r="P705" s="1">
        <v>6772.12</v>
      </c>
    </row>
    <row r="706" spans="1:16" x14ac:dyDescent="0.3">
      <c r="A706" s="1" t="s">
        <v>803</v>
      </c>
      <c r="B706" s="2">
        <v>45660</v>
      </c>
      <c r="C706" s="2" t="str">
        <f>TEXT(E_Commerce_data[[#This Row],[order_date]],"MMM")</f>
        <v>Jan</v>
      </c>
      <c r="D706" s="1" t="s">
        <v>203</v>
      </c>
      <c r="E706" s="1" t="s">
        <v>204</v>
      </c>
      <c r="F706" s="1" t="s">
        <v>76</v>
      </c>
      <c r="G706" s="1" t="s">
        <v>32</v>
      </c>
      <c r="H706" s="2">
        <v>45297</v>
      </c>
      <c r="I706" s="1" t="s">
        <v>763</v>
      </c>
      <c r="J706" s="1" t="s">
        <v>764</v>
      </c>
      <c r="K706" s="1" t="s">
        <v>560</v>
      </c>
      <c r="L706" s="1">
        <v>11485.64</v>
      </c>
      <c r="M706" s="1">
        <v>4</v>
      </c>
      <c r="N706" s="1">
        <v>0.1</v>
      </c>
      <c r="O706" s="1">
        <v>41348.300000000003</v>
      </c>
      <c r="P706" s="1">
        <v>2523.4699999999998</v>
      </c>
    </row>
    <row r="707" spans="1:16" x14ac:dyDescent="0.3">
      <c r="A707" s="1" t="s">
        <v>397</v>
      </c>
      <c r="B707" s="2">
        <v>45379</v>
      </c>
      <c r="C707" s="2" t="str">
        <f>TEXT(E_Commerce_data[[#This Row],[order_date]],"MMM")</f>
        <v>Mar</v>
      </c>
      <c r="D707" s="1" t="s">
        <v>284</v>
      </c>
      <c r="E707" s="1" t="s">
        <v>285</v>
      </c>
      <c r="F707" s="1" t="s">
        <v>47</v>
      </c>
      <c r="G707" s="1" t="s">
        <v>48</v>
      </c>
      <c r="H707" s="2">
        <v>45427</v>
      </c>
      <c r="I707" s="1" t="s">
        <v>315</v>
      </c>
      <c r="J707" s="1" t="s">
        <v>316</v>
      </c>
      <c r="K707" s="1" t="s">
        <v>22</v>
      </c>
      <c r="L707" s="1">
        <v>16937.37</v>
      </c>
      <c r="M707" s="1">
        <v>5</v>
      </c>
      <c r="N707" s="1">
        <v>0.1</v>
      </c>
      <c r="O707" s="1">
        <v>76218.16</v>
      </c>
      <c r="P707" s="1">
        <v>18403.189999999999</v>
      </c>
    </row>
    <row r="708" spans="1:16" x14ac:dyDescent="0.3">
      <c r="A708" s="1" t="s">
        <v>879</v>
      </c>
      <c r="B708" s="2">
        <v>45972</v>
      </c>
      <c r="C708" s="2" t="str">
        <f>TEXT(E_Commerce_data[[#This Row],[order_date]],"MMM")</f>
        <v>Nov</v>
      </c>
      <c r="D708" s="1" t="s">
        <v>453</v>
      </c>
      <c r="E708" s="1" t="s">
        <v>454</v>
      </c>
      <c r="F708" s="1" t="s">
        <v>31</v>
      </c>
      <c r="G708" s="1" t="s">
        <v>32</v>
      </c>
      <c r="H708" s="2">
        <v>45143</v>
      </c>
      <c r="I708" s="1" t="s">
        <v>822</v>
      </c>
      <c r="J708" s="1" t="s">
        <v>823</v>
      </c>
      <c r="K708" s="1" t="s">
        <v>560</v>
      </c>
      <c r="L708" s="1">
        <v>45275.73</v>
      </c>
      <c r="M708" s="1">
        <v>1</v>
      </c>
      <c r="N708" s="1">
        <v>0.2</v>
      </c>
      <c r="O708" s="1">
        <v>36220.58</v>
      </c>
      <c r="P708" s="1">
        <v>4508.3500000000004</v>
      </c>
    </row>
    <row r="709" spans="1:16" x14ac:dyDescent="0.3">
      <c r="A709" s="1" t="s">
        <v>944</v>
      </c>
      <c r="B709" s="2">
        <v>45337</v>
      </c>
      <c r="C709" s="2" t="str">
        <f>TEXT(E_Commerce_data[[#This Row],[order_date]],"MMM")</f>
        <v>Feb</v>
      </c>
      <c r="D709" s="1" t="s">
        <v>168</v>
      </c>
      <c r="E709" s="1" t="s">
        <v>169</v>
      </c>
      <c r="F709" s="1" t="s">
        <v>93</v>
      </c>
      <c r="G709" s="1" t="s">
        <v>27</v>
      </c>
      <c r="H709" s="2">
        <v>45389</v>
      </c>
      <c r="I709" s="1" t="s">
        <v>900</v>
      </c>
      <c r="J709" s="1" t="s">
        <v>901</v>
      </c>
      <c r="K709" s="1" t="s">
        <v>902</v>
      </c>
      <c r="L709" s="1">
        <v>42988.79</v>
      </c>
      <c r="M709" s="1">
        <v>3</v>
      </c>
      <c r="N709" s="1">
        <v>0</v>
      </c>
      <c r="O709" s="1">
        <v>128966.37</v>
      </c>
      <c r="P709" s="1">
        <v>31480.69</v>
      </c>
    </row>
    <row r="710" spans="1:16" x14ac:dyDescent="0.3">
      <c r="A710" s="1" t="s">
        <v>1081</v>
      </c>
      <c r="B710" s="2">
        <v>45701</v>
      </c>
      <c r="C710" s="2" t="str">
        <f>TEXT(E_Commerce_data[[#This Row],[order_date]],"MMM")</f>
        <v>Feb</v>
      </c>
      <c r="D710" s="1" t="s">
        <v>329</v>
      </c>
      <c r="E710" s="1" t="s">
        <v>330</v>
      </c>
      <c r="F710" s="1" t="s">
        <v>31</v>
      </c>
      <c r="G710" s="1" t="s">
        <v>32</v>
      </c>
      <c r="H710" s="2">
        <v>45275</v>
      </c>
      <c r="I710" s="1" t="s">
        <v>1034</v>
      </c>
      <c r="J710" s="1" t="s">
        <v>1035</v>
      </c>
      <c r="K710" s="1" t="s">
        <v>902</v>
      </c>
      <c r="L710" s="1">
        <v>11938.33</v>
      </c>
      <c r="M710" s="1">
        <v>5</v>
      </c>
      <c r="N710" s="1">
        <v>0.15</v>
      </c>
      <c r="O710" s="1">
        <v>50737.9</v>
      </c>
      <c r="P710" s="1">
        <v>12848.95</v>
      </c>
    </row>
    <row r="711" spans="1:16" x14ac:dyDescent="0.3">
      <c r="A711" s="1" t="s">
        <v>804</v>
      </c>
      <c r="B711" s="2">
        <v>45302</v>
      </c>
      <c r="C711" s="2" t="str">
        <f>TEXT(E_Commerce_data[[#This Row],[order_date]],"MMM")</f>
        <v>Jan</v>
      </c>
      <c r="D711" s="1" t="s">
        <v>324</v>
      </c>
      <c r="E711" s="1" t="s">
        <v>325</v>
      </c>
      <c r="F711" s="1" t="s">
        <v>55</v>
      </c>
      <c r="G711" s="1" t="s">
        <v>27</v>
      </c>
      <c r="H711" s="2">
        <v>45473</v>
      </c>
      <c r="I711" s="1" t="s">
        <v>763</v>
      </c>
      <c r="J711" s="1" t="s">
        <v>764</v>
      </c>
      <c r="K711" s="1" t="s">
        <v>560</v>
      </c>
      <c r="L711" s="1">
        <v>11485.64</v>
      </c>
      <c r="M711" s="1">
        <v>3</v>
      </c>
      <c r="N711" s="1">
        <v>0.2</v>
      </c>
      <c r="O711" s="1">
        <v>27565.54</v>
      </c>
      <c r="P711" s="1">
        <v>4938</v>
      </c>
    </row>
    <row r="712" spans="1:16" x14ac:dyDescent="0.3">
      <c r="A712" s="1" t="s">
        <v>683</v>
      </c>
      <c r="B712" s="2">
        <v>45823</v>
      </c>
      <c r="C712" s="2" t="str">
        <f>TEXT(E_Commerce_data[[#This Row],[order_date]],"MMM")</f>
        <v>Jun</v>
      </c>
      <c r="D712" s="1" t="s">
        <v>125</v>
      </c>
      <c r="E712" s="1" t="s">
        <v>126</v>
      </c>
      <c r="F712" s="1" t="s">
        <v>72</v>
      </c>
      <c r="G712" s="1" t="s">
        <v>48</v>
      </c>
      <c r="H712" s="2">
        <v>44952</v>
      </c>
      <c r="I712" s="1" t="s">
        <v>633</v>
      </c>
      <c r="J712" s="1" t="s">
        <v>634</v>
      </c>
      <c r="K712" s="1" t="s">
        <v>560</v>
      </c>
      <c r="L712" s="1">
        <v>3596.1</v>
      </c>
      <c r="M712" s="1">
        <v>1</v>
      </c>
      <c r="N712" s="1">
        <v>0</v>
      </c>
      <c r="O712" s="1">
        <v>3596.1</v>
      </c>
      <c r="P712" s="1">
        <v>419.31</v>
      </c>
    </row>
    <row r="713" spans="1:16" x14ac:dyDescent="0.3">
      <c r="A713" s="1" t="s">
        <v>398</v>
      </c>
      <c r="B713" s="2">
        <v>45518</v>
      </c>
      <c r="C713" s="2" t="str">
        <f>TEXT(E_Commerce_data[[#This Row],[order_date]],"MMM")</f>
        <v>Aug</v>
      </c>
      <c r="D713" s="1" t="s">
        <v>179</v>
      </c>
      <c r="E713" s="1" t="s">
        <v>180</v>
      </c>
      <c r="F713" s="1" t="s">
        <v>47</v>
      </c>
      <c r="G713" s="1" t="s">
        <v>48</v>
      </c>
      <c r="H713" s="2">
        <v>45337</v>
      </c>
      <c r="I713" s="1" t="s">
        <v>315</v>
      </c>
      <c r="J713" s="1" t="s">
        <v>316</v>
      </c>
      <c r="K713" s="1" t="s">
        <v>22</v>
      </c>
      <c r="L713" s="1">
        <v>16937.37</v>
      </c>
      <c r="M713" s="1">
        <v>5</v>
      </c>
      <c r="N713" s="1">
        <v>0.1</v>
      </c>
      <c r="O713" s="1">
        <v>76218.16</v>
      </c>
      <c r="P713" s="1">
        <v>19534.66</v>
      </c>
    </row>
    <row r="714" spans="1:16" x14ac:dyDescent="0.3">
      <c r="A714" s="1" t="s">
        <v>611</v>
      </c>
      <c r="B714" s="2">
        <v>45987</v>
      </c>
      <c r="C714" s="2" t="str">
        <f>TEXT(E_Commerce_data[[#This Row],[order_date]],"MMM")</f>
        <v>Nov</v>
      </c>
      <c r="D714" s="1" t="s">
        <v>519</v>
      </c>
      <c r="E714" s="1" t="s">
        <v>520</v>
      </c>
      <c r="F714" s="1" t="s">
        <v>55</v>
      </c>
      <c r="G714" s="1" t="s">
        <v>27</v>
      </c>
      <c r="H714" s="2">
        <v>45198</v>
      </c>
      <c r="I714" s="1" t="s">
        <v>558</v>
      </c>
      <c r="J714" s="1" t="s">
        <v>559</v>
      </c>
      <c r="K714" s="1" t="s">
        <v>560</v>
      </c>
      <c r="L714" s="1">
        <v>11049.86</v>
      </c>
      <c r="M714" s="1">
        <v>4</v>
      </c>
      <c r="N714" s="1">
        <v>0</v>
      </c>
      <c r="O714" s="1">
        <v>44199.44</v>
      </c>
      <c r="P714" s="1">
        <v>7396.35</v>
      </c>
    </row>
    <row r="715" spans="1:16" x14ac:dyDescent="0.3">
      <c r="A715" s="1" t="s">
        <v>540</v>
      </c>
      <c r="B715" s="2">
        <v>45645</v>
      </c>
      <c r="C715" s="2" t="str">
        <f>TEXT(E_Commerce_data[[#This Row],[order_date]],"MMM")</f>
        <v>Dec</v>
      </c>
      <c r="D715" s="1" t="s">
        <v>41</v>
      </c>
      <c r="E715" s="1" t="s">
        <v>42</v>
      </c>
      <c r="F715" s="1" t="s">
        <v>43</v>
      </c>
      <c r="G715" s="1" t="s">
        <v>32</v>
      </c>
      <c r="H715" s="2">
        <v>45020</v>
      </c>
      <c r="I715" s="1" t="s">
        <v>489</v>
      </c>
      <c r="J715" s="1" t="s">
        <v>490</v>
      </c>
      <c r="K715" s="1" t="s">
        <v>22</v>
      </c>
      <c r="L715" s="1">
        <v>11544.23</v>
      </c>
      <c r="M715" s="1">
        <v>5</v>
      </c>
      <c r="N715" s="1">
        <v>0.15</v>
      </c>
      <c r="O715" s="1">
        <v>49062.98</v>
      </c>
      <c r="P715" s="1">
        <v>9819.4500000000007</v>
      </c>
    </row>
    <row r="716" spans="1:16" x14ac:dyDescent="0.3">
      <c r="A716" s="1" t="s">
        <v>684</v>
      </c>
      <c r="B716" s="2">
        <v>45717</v>
      </c>
      <c r="C716" s="2" t="str">
        <f>TEXT(E_Commerce_data[[#This Row],[order_date]],"MMM")</f>
        <v>Mar</v>
      </c>
      <c r="D716" s="1" t="s">
        <v>366</v>
      </c>
      <c r="E716" s="1" t="s">
        <v>367</v>
      </c>
      <c r="F716" s="1" t="s">
        <v>47</v>
      </c>
      <c r="G716" s="1" t="s">
        <v>48</v>
      </c>
      <c r="H716" s="2">
        <v>45144</v>
      </c>
      <c r="I716" s="1" t="s">
        <v>633</v>
      </c>
      <c r="J716" s="1" t="s">
        <v>634</v>
      </c>
      <c r="K716" s="1" t="s">
        <v>560</v>
      </c>
      <c r="L716" s="1">
        <v>3596.1</v>
      </c>
      <c r="M716" s="1">
        <v>1</v>
      </c>
      <c r="N716" s="1">
        <v>0.05</v>
      </c>
      <c r="O716" s="1">
        <v>3416.29</v>
      </c>
      <c r="P716" s="1">
        <v>277.97000000000003</v>
      </c>
    </row>
    <row r="717" spans="1:16" x14ac:dyDescent="0.3">
      <c r="A717" s="1" t="s">
        <v>464</v>
      </c>
      <c r="B717" s="2">
        <v>45437</v>
      </c>
      <c r="C717" s="2" t="str">
        <f>TEXT(E_Commerce_data[[#This Row],[order_date]],"MMM")</f>
        <v>May</v>
      </c>
      <c r="D717" s="1" t="s">
        <v>24</v>
      </c>
      <c r="E717" s="1" t="s">
        <v>25</v>
      </c>
      <c r="F717" s="1" t="s">
        <v>26</v>
      </c>
      <c r="G717" s="1" t="s">
        <v>27</v>
      </c>
      <c r="H717" s="2">
        <v>45069</v>
      </c>
      <c r="I717" s="1" t="s">
        <v>420</v>
      </c>
      <c r="J717" s="1" t="s">
        <v>421</v>
      </c>
      <c r="K717" s="1" t="s">
        <v>22</v>
      </c>
      <c r="L717" s="1">
        <v>29436.02</v>
      </c>
      <c r="M717" s="1">
        <v>1</v>
      </c>
      <c r="N717" s="1">
        <v>0</v>
      </c>
      <c r="O717" s="1">
        <v>29436.02</v>
      </c>
      <c r="P717" s="1">
        <v>8813.01</v>
      </c>
    </row>
    <row r="718" spans="1:16" x14ac:dyDescent="0.3">
      <c r="A718" s="1" t="s">
        <v>805</v>
      </c>
      <c r="B718" s="2">
        <v>45503</v>
      </c>
      <c r="C718" s="2" t="str">
        <f>TEXT(E_Commerce_data[[#This Row],[order_date]],"MMM")</f>
        <v>Jul</v>
      </c>
      <c r="D718" s="1" t="s">
        <v>24</v>
      </c>
      <c r="E718" s="1" t="s">
        <v>25</v>
      </c>
      <c r="F718" s="1" t="s">
        <v>26</v>
      </c>
      <c r="G718" s="1" t="s">
        <v>27</v>
      </c>
      <c r="H718" s="2">
        <v>45069</v>
      </c>
      <c r="I718" s="1" t="s">
        <v>763</v>
      </c>
      <c r="J718" s="1" t="s">
        <v>764</v>
      </c>
      <c r="K718" s="1" t="s">
        <v>560</v>
      </c>
      <c r="L718" s="1">
        <v>11485.64</v>
      </c>
      <c r="M718" s="1">
        <v>3</v>
      </c>
      <c r="N718" s="1">
        <v>0</v>
      </c>
      <c r="O718" s="1">
        <v>34456.92</v>
      </c>
      <c r="P718" s="1">
        <v>5269.15</v>
      </c>
    </row>
    <row r="719" spans="1:16" x14ac:dyDescent="0.3">
      <c r="A719" s="1" t="s">
        <v>740</v>
      </c>
      <c r="B719" s="2">
        <v>45391</v>
      </c>
      <c r="C719" s="2" t="str">
        <f>TEXT(E_Commerce_data[[#This Row],[order_date]],"MMM")</f>
        <v>Apr</v>
      </c>
      <c r="D719" s="1" t="s">
        <v>88</v>
      </c>
      <c r="E719" s="1" t="s">
        <v>89</v>
      </c>
      <c r="F719" s="1" t="s">
        <v>18</v>
      </c>
      <c r="G719" s="1" t="s">
        <v>19</v>
      </c>
      <c r="H719" s="2">
        <v>45083</v>
      </c>
      <c r="I719" s="1" t="s">
        <v>706</v>
      </c>
      <c r="J719" s="1" t="s">
        <v>707</v>
      </c>
      <c r="K719" s="1" t="s">
        <v>560</v>
      </c>
      <c r="L719" s="1">
        <v>31573.59</v>
      </c>
      <c r="M719" s="1">
        <v>5</v>
      </c>
      <c r="N719" s="1">
        <v>0.05</v>
      </c>
      <c r="O719" s="1">
        <v>149974.54999999999</v>
      </c>
      <c r="P719" s="1">
        <v>23169.58</v>
      </c>
    </row>
    <row r="720" spans="1:16" x14ac:dyDescent="0.3">
      <c r="A720" s="1" t="s">
        <v>880</v>
      </c>
      <c r="B720" s="2">
        <v>45618</v>
      </c>
      <c r="C720" s="2" t="str">
        <f>TEXT(E_Commerce_data[[#This Row],[order_date]],"MMM")</f>
        <v>Nov</v>
      </c>
      <c r="D720" s="1" t="s">
        <v>209</v>
      </c>
      <c r="E720" s="1" t="s">
        <v>210</v>
      </c>
      <c r="F720" s="1" t="s">
        <v>18</v>
      </c>
      <c r="G720" s="1" t="s">
        <v>19</v>
      </c>
      <c r="H720" s="2">
        <v>45507</v>
      </c>
      <c r="I720" s="1" t="s">
        <v>822</v>
      </c>
      <c r="J720" s="1" t="s">
        <v>823</v>
      </c>
      <c r="K720" s="1" t="s">
        <v>560</v>
      </c>
      <c r="L720" s="1">
        <v>45275.73</v>
      </c>
      <c r="M720" s="1">
        <v>4</v>
      </c>
      <c r="N720" s="1">
        <v>0.15</v>
      </c>
      <c r="O720" s="1">
        <v>153937.48000000001</v>
      </c>
      <c r="P720" s="1">
        <v>39874.269999999997</v>
      </c>
    </row>
    <row r="721" spans="1:16" x14ac:dyDescent="0.3">
      <c r="A721" s="1" t="s">
        <v>1146</v>
      </c>
      <c r="B721" s="2">
        <v>46019</v>
      </c>
      <c r="C721" s="2" t="str">
        <f>TEXT(E_Commerce_data[[#This Row],[order_date]],"MMM")</f>
        <v>Dec</v>
      </c>
      <c r="D721" s="1" t="s">
        <v>38</v>
      </c>
      <c r="E721" s="1" t="s">
        <v>39</v>
      </c>
      <c r="F721" s="1" t="s">
        <v>18</v>
      </c>
      <c r="G721" s="1" t="s">
        <v>19</v>
      </c>
      <c r="H721" s="2">
        <v>45069</v>
      </c>
      <c r="I721" s="1" t="s">
        <v>1102</v>
      </c>
      <c r="J721" s="1" t="s">
        <v>1103</v>
      </c>
      <c r="K721" s="1" t="s">
        <v>902</v>
      </c>
      <c r="L721" s="1">
        <v>33465.440000000002</v>
      </c>
      <c r="M721" s="1">
        <v>1</v>
      </c>
      <c r="N721" s="1">
        <v>0</v>
      </c>
      <c r="O721" s="1">
        <v>33465.440000000002</v>
      </c>
      <c r="P721" s="1">
        <v>2121.87</v>
      </c>
    </row>
    <row r="722" spans="1:16" x14ac:dyDescent="0.3">
      <c r="A722" s="1" t="s">
        <v>806</v>
      </c>
      <c r="B722" s="2">
        <v>45955</v>
      </c>
      <c r="C722" s="2" t="str">
        <f>TEXT(E_Commerce_data[[#This Row],[order_date]],"MMM")</f>
        <v>Oct</v>
      </c>
      <c r="D722" s="1" t="s">
        <v>341</v>
      </c>
      <c r="E722" s="1" t="s">
        <v>342</v>
      </c>
      <c r="F722" s="1" t="s">
        <v>93</v>
      </c>
      <c r="G722" s="1" t="s">
        <v>27</v>
      </c>
      <c r="H722" s="2">
        <v>45633</v>
      </c>
      <c r="I722" s="1" t="s">
        <v>763</v>
      </c>
      <c r="J722" s="1" t="s">
        <v>764</v>
      </c>
      <c r="K722" s="1" t="s">
        <v>560</v>
      </c>
      <c r="L722" s="1">
        <v>11485.64</v>
      </c>
      <c r="M722" s="1">
        <v>1</v>
      </c>
      <c r="N722" s="1">
        <v>0</v>
      </c>
      <c r="O722" s="1">
        <v>11485.64</v>
      </c>
      <c r="P722" s="1">
        <v>3500.29</v>
      </c>
    </row>
    <row r="723" spans="1:16" x14ac:dyDescent="0.3">
      <c r="A723" s="1" t="s">
        <v>1229</v>
      </c>
      <c r="B723" s="2">
        <v>45541</v>
      </c>
      <c r="C723" s="2" t="str">
        <f>TEXT(E_Commerce_data[[#This Row],[order_date]],"MMM")</f>
        <v>Sep</v>
      </c>
      <c r="D723" s="1" t="s">
        <v>384</v>
      </c>
      <c r="E723" s="1" t="s">
        <v>385</v>
      </c>
      <c r="F723" s="1" t="s">
        <v>93</v>
      </c>
      <c r="G723" s="1" t="s">
        <v>27</v>
      </c>
      <c r="H723" s="2">
        <v>45055</v>
      </c>
      <c r="I723" s="1" t="s">
        <v>1162</v>
      </c>
      <c r="J723" s="1" t="s">
        <v>1163</v>
      </c>
      <c r="K723" s="1" t="s">
        <v>902</v>
      </c>
      <c r="L723" s="1">
        <v>10751.13</v>
      </c>
      <c r="M723" s="1">
        <v>1</v>
      </c>
      <c r="N723" s="1">
        <v>0.15</v>
      </c>
      <c r="O723" s="1">
        <v>9138.4599999999991</v>
      </c>
      <c r="P723" s="1">
        <v>2650.29</v>
      </c>
    </row>
    <row r="724" spans="1:16" x14ac:dyDescent="0.3">
      <c r="A724" s="1" t="s">
        <v>465</v>
      </c>
      <c r="B724" s="2">
        <v>45630</v>
      </c>
      <c r="C724" s="2" t="str">
        <f>TEXT(E_Commerce_data[[#This Row],[order_date]],"MMM")</f>
        <v>Dec</v>
      </c>
      <c r="D724" s="1" t="s">
        <v>338</v>
      </c>
      <c r="E724" s="1" t="s">
        <v>339</v>
      </c>
      <c r="F724" s="1" t="s">
        <v>93</v>
      </c>
      <c r="G724" s="1" t="s">
        <v>27</v>
      </c>
      <c r="H724" s="2">
        <v>45016</v>
      </c>
      <c r="I724" s="1" t="s">
        <v>420</v>
      </c>
      <c r="J724" s="1" t="s">
        <v>421</v>
      </c>
      <c r="K724" s="1" t="s">
        <v>22</v>
      </c>
      <c r="L724" s="1">
        <v>29436.02</v>
      </c>
      <c r="M724" s="1">
        <v>5</v>
      </c>
      <c r="N724" s="1">
        <v>0</v>
      </c>
      <c r="O724" s="1">
        <v>147180.1</v>
      </c>
      <c r="P724" s="1">
        <v>31728.07</v>
      </c>
    </row>
    <row r="725" spans="1:16" x14ac:dyDescent="0.3">
      <c r="A725" s="1" t="s">
        <v>164</v>
      </c>
      <c r="B725" s="2">
        <v>45529</v>
      </c>
      <c r="C725" s="2" t="str">
        <f>TEXT(E_Commerce_data[[#This Row],[order_date]],"MMM")</f>
        <v>Aug</v>
      </c>
      <c r="D725" s="1" t="s">
        <v>165</v>
      </c>
      <c r="E725" s="1" t="s">
        <v>166</v>
      </c>
      <c r="F725" s="1" t="s">
        <v>36</v>
      </c>
      <c r="G725" s="1" t="s">
        <v>32</v>
      </c>
      <c r="H725" s="2">
        <v>45039</v>
      </c>
      <c r="I725" s="1" t="s">
        <v>20</v>
      </c>
      <c r="J725" s="1" t="s">
        <v>21</v>
      </c>
      <c r="K725" s="1" t="s">
        <v>22</v>
      </c>
      <c r="L725" s="1">
        <v>6094.16</v>
      </c>
      <c r="M725" s="1">
        <v>5</v>
      </c>
      <c r="N725" s="1">
        <v>0.05</v>
      </c>
      <c r="O725" s="1">
        <v>28947.26</v>
      </c>
      <c r="P725" s="1">
        <v>9770.82</v>
      </c>
    </row>
    <row r="726" spans="1:16" x14ac:dyDescent="0.3">
      <c r="A726" s="1" t="s">
        <v>612</v>
      </c>
      <c r="B726" s="2">
        <v>45947</v>
      </c>
      <c r="C726" s="2" t="str">
        <f>TEXT(E_Commerce_data[[#This Row],[order_date]],"MMM")</f>
        <v>Oct</v>
      </c>
      <c r="D726" s="1" t="s">
        <v>230</v>
      </c>
      <c r="E726" s="1" t="s">
        <v>231</v>
      </c>
      <c r="F726" s="1" t="s">
        <v>72</v>
      </c>
      <c r="G726" s="1" t="s">
        <v>48</v>
      </c>
      <c r="H726" s="2">
        <v>45550</v>
      </c>
      <c r="I726" s="1" t="s">
        <v>558</v>
      </c>
      <c r="J726" s="1" t="s">
        <v>559</v>
      </c>
      <c r="K726" s="1" t="s">
        <v>560</v>
      </c>
      <c r="L726" s="1">
        <v>11049.86</v>
      </c>
      <c r="M726" s="1">
        <v>4</v>
      </c>
      <c r="N726" s="1">
        <v>0.15</v>
      </c>
      <c r="O726" s="1">
        <v>37569.519999999997</v>
      </c>
      <c r="P726" s="1">
        <v>3957.41</v>
      </c>
    </row>
    <row r="727" spans="1:16" x14ac:dyDescent="0.3">
      <c r="A727" s="1" t="s">
        <v>741</v>
      </c>
      <c r="B727" s="2">
        <v>45920</v>
      </c>
      <c r="C727" s="2" t="str">
        <f>TEXT(E_Commerce_data[[#This Row],[order_date]],"MMM")</f>
        <v>Sep</v>
      </c>
      <c r="D727" s="1" t="s">
        <v>297</v>
      </c>
      <c r="E727" s="1" t="s">
        <v>298</v>
      </c>
      <c r="F727" s="1" t="s">
        <v>47</v>
      </c>
      <c r="G727" s="1" t="s">
        <v>48</v>
      </c>
      <c r="H727" s="2">
        <v>45092</v>
      </c>
      <c r="I727" s="1" t="s">
        <v>706</v>
      </c>
      <c r="J727" s="1" t="s">
        <v>707</v>
      </c>
      <c r="K727" s="1" t="s">
        <v>560</v>
      </c>
      <c r="L727" s="1">
        <v>31573.59</v>
      </c>
      <c r="M727" s="1">
        <v>4</v>
      </c>
      <c r="N727" s="1">
        <v>0.05</v>
      </c>
      <c r="O727" s="1">
        <v>119979.64</v>
      </c>
      <c r="P727" s="1">
        <v>7049.73</v>
      </c>
    </row>
    <row r="728" spans="1:16" x14ac:dyDescent="0.3">
      <c r="A728" s="1" t="s">
        <v>1147</v>
      </c>
      <c r="B728" s="2">
        <v>45690</v>
      </c>
      <c r="C728" s="2" t="str">
        <f>TEXT(E_Commerce_data[[#This Row],[order_date]],"MMM")</f>
        <v>Feb</v>
      </c>
      <c r="D728" s="1" t="s">
        <v>392</v>
      </c>
      <c r="E728" s="1" t="s">
        <v>393</v>
      </c>
      <c r="F728" s="1" t="s">
        <v>76</v>
      </c>
      <c r="G728" s="1" t="s">
        <v>32</v>
      </c>
      <c r="H728" s="2">
        <v>45197</v>
      </c>
      <c r="I728" s="1" t="s">
        <v>1102</v>
      </c>
      <c r="J728" s="1" t="s">
        <v>1103</v>
      </c>
      <c r="K728" s="1" t="s">
        <v>902</v>
      </c>
      <c r="L728" s="1">
        <v>33465.440000000002</v>
      </c>
      <c r="M728" s="1">
        <v>2</v>
      </c>
      <c r="N728" s="1">
        <v>0.05</v>
      </c>
      <c r="O728" s="1">
        <v>63584.34</v>
      </c>
      <c r="P728" s="1">
        <v>14475.67</v>
      </c>
    </row>
    <row r="729" spans="1:16" x14ac:dyDescent="0.3">
      <c r="A729" s="1" t="s">
        <v>167</v>
      </c>
      <c r="B729" s="2">
        <v>45577</v>
      </c>
      <c r="C729" s="2" t="str">
        <f>TEXT(E_Commerce_data[[#This Row],[order_date]],"MMM")</f>
        <v>Oct</v>
      </c>
      <c r="D729" s="1" t="s">
        <v>168</v>
      </c>
      <c r="E729" s="1" t="s">
        <v>169</v>
      </c>
      <c r="F729" s="1" t="s">
        <v>93</v>
      </c>
      <c r="G729" s="1" t="s">
        <v>27</v>
      </c>
      <c r="H729" s="2">
        <v>45389</v>
      </c>
      <c r="I729" s="1" t="s">
        <v>20</v>
      </c>
      <c r="J729" s="1" t="s">
        <v>21</v>
      </c>
      <c r="K729" s="1" t="s">
        <v>22</v>
      </c>
      <c r="L729" s="1">
        <v>6094.16</v>
      </c>
      <c r="M729" s="1">
        <v>1</v>
      </c>
      <c r="N729" s="1">
        <v>0.15</v>
      </c>
      <c r="O729" s="1">
        <v>5180.04</v>
      </c>
      <c r="P729" s="1">
        <v>592.79999999999995</v>
      </c>
    </row>
    <row r="730" spans="1:16" x14ac:dyDescent="0.3">
      <c r="A730" s="1" t="s">
        <v>1230</v>
      </c>
      <c r="B730" s="2">
        <v>45841</v>
      </c>
      <c r="C730" s="2" t="str">
        <f>TEXT(E_Commerce_data[[#This Row],[order_date]],"MMM")</f>
        <v>Jul</v>
      </c>
      <c r="D730" s="1" t="s">
        <v>50</v>
      </c>
      <c r="E730" s="1" t="s">
        <v>51</v>
      </c>
      <c r="F730" s="1" t="s">
        <v>47</v>
      </c>
      <c r="G730" s="1" t="s">
        <v>48</v>
      </c>
      <c r="H730" s="2">
        <v>45041</v>
      </c>
      <c r="I730" s="1" t="s">
        <v>1162</v>
      </c>
      <c r="J730" s="1" t="s">
        <v>1163</v>
      </c>
      <c r="K730" s="1" t="s">
        <v>902</v>
      </c>
      <c r="L730" s="1">
        <v>10751.13</v>
      </c>
      <c r="M730" s="1">
        <v>1</v>
      </c>
      <c r="N730" s="1">
        <v>0.1</v>
      </c>
      <c r="O730" s="1">
        <v>9676.02</v>
      </c>
      <c r="P730" s="1">
        <v>779.17</v>
      </c>
    </row>
    <row r="731" spans="1:16" x14ac:dyDescent="0.3">
      <c r="A731" s="1" t="s">
        <v>945</v>
      </c>
      <c r="B731" s="2">
        <v>45760</v>
      </c>
      <c r="C731" s="2" t="str">
        <f>TEXT(E_Commerce_data[[#This Row],[order_date]],"MMM")</f>
        <v>Apr</v>
      </c>
      <c r="D731" s="1" t="s">
        <v>99</v>
      </c>
      <c r="E731" s="1" t="s">
        <v>100</v>
      </c>
      <c r="F731" s="1" t="s">
        <v>43</v>
      </c>
      <c r="G731" s="1" t="s">
        <v>32</v>
      </c>
      <c r="H731" s="2">
        <v>45468</v>
      </c>
      <c r="I731" s="1" t="s">
        <v>900</v>
      </c>
      <c r="J731" s="1" t="s">
        <v>901</v>
      </c>
      <c r="K731" s="1" t="s">
        <v>902</v>
      </c>
      <c r="L731" s="1">
        <v>42988.79</v>
      </c>
      <c r="M731" s="1">
        <v>2</v>
      </c>
      <c r="N731" s="1">
        <v>0</v>
      </c>
      <c r="O731" s="1">
        <v>85977.58</v>
      </c>
      <c r="P731" s="1">
        <v>12707.1</v>
      </c>
    </row>
    <row r="732" spans="1:16" x14ac:dyDescent="0.3">
      <c r="A732" s="1" t="s">
        <v>685</v>
      </c>
      <c r="B732" s="2">
        <v>45793</v>
      </c>
      <c r="C732" s="2" t="str">
        <f>TEXT(E_Commerce_data[[#This Row],[order_date]],"MMM")</f>
        <v>May</v>
      </c>
      <c r="D732" s="1" t="s">
        <v>85</v>
      </c>
      <c r="E732" s="1" t="s">
        <v>86</v>
      </c>
      <c r="F732" s="1" t="s">
        <v>36</v>
      </c>
      <c r="G732" s="1" t="s">
        <v>32</v>
      </c>
      <c r="H732" s="2">
        <v>44957</v>
      </c>
      <c r="I732" s="1" t="s">
        <v>633</v>
      </c>
      <c r="J732" s="1" t="s">
        <v>634</v>
      </c>
      <c r="K732" s="1" t="s">
        <v>560</v>
      </c>
      <c r="L732" s="1">
        <v>3596.1</v>
      </c>
      <c r="M732" s="1">
        <v>1</v>
      </c>
      <c r="N732" s="1">
        <v>0</v>
      </c>
      <c r="O732" s="1">
        <v>3596.1</v>
      </c>
      <c r="P732" s="1">
        <v>903.38</v>
      </c>
    </row>
    <row r="733" spans="1:16" x14ac:dyDescent="0.3">
      <c r="A733" s="1" t="s">
        <v>305</v>
      </c>
      <c r="B733" s="2">
        <v>45689</v>
      </c>
      <c r="C733" s="2" t="str">
        <f>TEXT(E_Commerce_data[[#This Row],[order_date]],"MMM")</f>
        <v>Feb</v>
      </c>
      <c r="D733" s="1" t="s">
        <v>255</v>
      </c>
      <c r="E733" s="1" t="s">
        <v>256</v>
      </c>
      <c r="F733" s="1" t="s">
        <v>26</v>
      </c>
      <c r="G733" s="1" t="s">
        <v>27</v>
      </c>
      <c r="H733" s="2">
        <v>45372</v>
      </c>
      <c r="I733" s="1" t="s">
        <v>215</v>
      </c>
      <c r="J733" s="1" t="s">
        <v>216</v>
      </c>
      <c r="K733" s="1" t="s">
        <v>22</v>
      </c>
      <c r="L733" s="1">
        <v>11273.63</v>
      </c>
      <c r="M733" s="1">
        <v>5</v>
      </c>
      <c r="N733" s="1">
        <v>0.15</v>
      </c>
      <c r="O733" s="1">
        <v>47912.93</v>
      </c>
      <c r="P733" s="1">
        <v>6900.48</v>
      </c>
    </row>
    <row r="734" spans="1:16" x14ac:dyDescent="0.3">
      <c r="A734" s="1" t="s">
        <v>613</v>
      </c>
      <c r="B734" s="2">
        <v>45648</v>
      </c>
      <c r="C734" s="2" t="str">
        <f>TEXT(E_Commerce_data[[#This Row],[order_date]],"MMM")</f>
        <v>Dec</v>
      </c>
      <c r="D734" s="1" t="s">
        <v>203</v>
      </c>
      <c r="E734" s="1" t="s">
        <v>204</v>
      </c>
      <c r="F734" s="1" t="s">
        <v>76</v>
      </c>
      <c r="G734" s="1" t="s">
        <v>32</v>
      </c>
      <c r="H734" s="2">
        <v>45297</v>
      </c>
      <c r="I734" s="1" t="s">
        <v>558</v>
      </c>
      <c r="J734" s="1" t="s">
        <v>559</v>
      </c>
      <c r="K734" s="1" t="s">
        <v>560</v>
      </c>
      <c r="L734" s="1">
        <v>11049.86</v>
      </c>
      <c r="M734" s="1">
        <v>5</v>
      </c>
      <c r="N734" s="1">
        <v>0.05</v>
      </c>
      <c r="O734" s="1">
        <v>52486.84</v>
      </c>
      <c r="P734" s="1">
        <v>11867.35</v>
      </c>
    </row>
    <row r="735" spans="1:16" x14ac:dyDescent="0.3">
      <c r="A735" s="1" t="s">
        <v>1148</v>
      </c>
      <c r="B735" s="2">
        <v>45468</v>
      </c>
      <c r="C735" s="2" t="str">
        <f>TEXT(E_Commerce_data[[#This Row],[order_date]],"MMM")</f>
        <v>Jun</v>
      </c>
      <c r="D735" s="1" t="s">
        <v>495</v>
      </c>
      <c r="E735" s="1" t="s">
        <v>496</v>
      </c>
      <c r="F735" s="1" t="s">
        <v>36</v>
      </c>
      <c r="G735" s="1" t="s">
        <v>32</v>
      </c>
      <c r="H735" s="2">
        <v>45623</v>
      </c>
      <c r="I735" s="1" t="s">
        <v>1102</v>
      </c>
      <c r="J735" s="1" t="s">
        <v>1103</v>
      </c>
      <c r="K735" s="1" t="s">
        <v>902</v>
      </c>
      <c r="L735" s="1">
        <v>33465.440000000002</v>
      </c>
      <c r="M735" s="1">
        <v>3</v>
      </c>
      <c r="N735" s="1">
        <v>0.2</v>
      </c>
      <c r="O735" s="1">
        <v>80317.06</v>
      </c>
      <c r="P735" s="1">
        <v>15048.06</v>
      </c>
    </row>
    <row r="736" spans="1:16" x14ac:dyDescent="0.3">
      <c r="A736" s="1" t="s">
        <v>466</v>
      </c>
      <c r="B736" s="2">
        <v>45980</v>
      </c>
      <c r="C736" s="2" t="str">
        <f>TEXT(E_Commerce_data[[#This Row],[order_date]],"MMM")</f>
        <v>Nov</v>
      </c>
      <c r="D736" s="1" t="s">
        <v>102</v>
      </c>
      <c r="E736" s="1" t="s">
        <v>103</v>
      </c>
      <c r="F736" s="1" t="s">
        <v>93</v>
      </c>
      <c r="G736" s="1" t="s">
        <v>27</v>
      </c>
      <c r="H736" s="2">
        <v>45548</v>
      </c>
      <c r="I736" s="1" t="s">
        <v>420</v>
      </c>
      <c r="J736" s="1" t="s">
        <v>421</v>
      </c>
      <c r="K736" s="1" t="s">
        <v>22</v>
      </c>
      <c r="L736" s="1">
        <v>29436.02</v>
      </c>
      <c r="M736" s="1">
        <v>3</v>
      </c>
      <c r="N736" s="1">
        <v>0.1</v>
      </c>
      <c r="O736" s="1">
        <v>79477.25</v>
      </c>
      <c r="P736" s="1">
        <v>18045.349999999999</v>
      </c>
    </row>
    <row r="737" spans="1:16" x14ac:dyDescent="0.3">
      <c r="A737" s="1" t="s">
        <v>306</v>
      </c>
      <c r="B737" s="2">
        <v>45604</v>
      </c>
      <c r="C737" s="2" t="str">
        <f>TEXT(E_Commerce_data[[#This Row],[order_date]],"MMM")</f>
        <v>Nov</v>
      </c>
      <c r="D737" s="1" t="s">
        <v>218</v>
      </c>
      <c r="E737" s="1" t="s">
        <v>219</v>
      </c>
      <c r="F737" s="1" t="s">
        <v>47</v>
      </c>
      <c r="G737" s="1" t="s">
        <v>48</v>
      </c>
      <c r="H737" s="2">
        <v>45241</v>
      </c>
      <c r="I737" s="1" t="s">
        <v>215</v>
      </c>
      <c r="J737" s="1" t="s">
        <v>216</v>
      </c>
      <c r="K737" s="1" t="s">
        <v>22</v>
      </c>
      <c r="L737" s="1">
        <v>11273.63</v>
      </c>
      <c r="M737" s="1">
        <v>2</v>
      </c>
      <c r="N737" s="1">
        <v>0</v>
      </c>
      <c r="O737" s="1">
        <v>22547.26</v>
      </c>
      <c r="P737" s="1">
        <v>1924.6</v>
      </c>
    </row>
    <row r="738" spans="1:16" x14ac:dyDescent="0.3">
      <c r="A738" s="1" t="s">
        <v>1231</v>
      </c>
      <c r="B738" s="2">
        <v>45436</v>
      </c>
      <c r="C738" s="2" t="str">
        <f>TEXT(E_Commerce_data[[#This Row],[order_date]],"MMM")</f>
        <v>May</v>
      </c>
      <c r="D738" s="1" t="s">
        <v>284</v>
      </c>
      <c r="E738" s="1" t="s">
        <v>285</v>
      </c>
      <c r="F738" s="1" t="s">
        <v>47</v>
      </c>
      <c r="G738" s="1" t="s">
        <v>48</v>
      </c>
      <c r="H738" s="2">
        <v>45427</v>
      </c>
      <c r="I738" s="1" t="s">
        <v>1162</v>
      </c>
      <c r="J738" s="1" t="s">
        <v>1163</v>
      </c>
      <c r="K738" s="1" t="s">
        <v>902</v>
      </c>
      <c r="L738" s="1">
        <v>10751.13</v>
      </c>
      <c r="M738" s="1">
        <v>1</v>
      </c>
      <c r="N738" s="1">
        <v>0</v>
      </c>
      <c r="O738" s="1">
        <v>10751.13</v>
      </c>
      <c r="P738" s="1">
        <v>1741.6</v>
      </c>
    </row>
    <row r="739" spans="1:16" x14ac:dyDescent="0.3">
      <c r="A739" s="1" t="s">
        <v>1232</v>
      </c>
      <c r="B739" s="2">
        <v>45433</v>
      </c>
      <c r="C739" s="2" t="str">
        <f>TEXT(E_Commerce_data[[#This Row],[order_date]],"MMM")</f>
        <v>May</v>
      </c>
      <c r="D739" s="1" t="s">
        <v>41</v>
      </c>
      <c r="E739" s="1" t="s">
        <v>42</v>
      </c>
      <c r="F739" s="1" t="s">
        <v>43</v>
      </c>
      <c r="G739" s="1" t="s">
        <v>32</v>
      </c>
      <c r="H739" s="2">
        <v>45020</v>
      </c>
      <c r="I739" s="1" t="s">
        <v>1162</v>
      </c>
      <c r="J739" s="1" t="s">
        <v>1163</v>
      </c>
      <c r="K739" s="1" t="s">
        <v>902</v>
      </c>
      <c r="L739" s="1">
        <v>10751.13</v>
      </c>
      <c r="M739" s="1">
        <v>5</v>
      </c>
      <c r="N739" s="1">
        <v>0.05</v>
      </c>
      <c r="O739" s="1">
        <v>51067.87</v>
      </c>
      <c r="P739" s="1">
        <v>8960.9699999999993</v>
      </c>
    </row>
    <row r="740" spans="1:16" x14ac:dyDescent="0.3">
      <c r="A740" s="1" t="s">
        <v>1082</v>
      </c>
      <c r="B740" s="2">
        <v>45790</v>
      </c>
      <c r="C740" s="2" t="str">
        <f>TEXT(E_Commerce_data[[#This Row],[order_date]],"MMM")</f>
        <v>May</v>
      </c>
      <c r="D740" s="1" t="s">
        <v>338</v>
      </c>
      <c r="E740" s="1" t="s">
        <v>339</v>
      </c>
      <c r="F740" s="1" t="s">
        <v>93</v>
      </c>
      <c r="G740" s="1" t="s">
        <v>27</v>
      </c>
      <c r="H740" s="2">
        <v>45016</v>
      </c>
      <c r="I740" s="1" t="s">
        <v>1034</v>
      </c>
      <c r="J740" s="1" t="s">
        <v>1035</v>
      </c>
      <c r="K740" s="1" t="s">
        <v>902</v>
      </c>
      <c r="L740" s="1">
        <v>11938.33</v>
      </c>
      <c r="M740" s="1">
        <v>5</v>
      </c>
      <c r="N740" s="1">
        <v>0.05</v>
      </c>
      <c r="O740" s="1">
        <v>56707.07</v>
      </c>
      <c r="P740" s="1">
        <v>10032.14</v>
      </c>
    </row>
    <row r="741" spans="1:16" x14ac:dyDescent="0.3">
      <c r="A741" s="1" t="s">
        <v>946</v>
      </c>
      <c r="B741" s="2">
        <v>45469</v>
      </c>
      <c r="C741" s="2" t="str">
        <f>TEXT(E_Commerce_data[[#This Row],[order_date]],"MMM")</f>
        <v>Jun</v>
      </c>
      <c r="D741" s="1" t="s">
        <v>24</v>
      </c>
      <c r="E741" s="1" t="s">
        <v>25</v>
      </c>
      <c r="F741" s="1" t="s">
        <v>26</v>
      </c>
      <c r="G741" s="1" t="s">
        <v>27</v>
      </c>
      <c r="H741" s="2">
        <v>45069</v>
      </c>
      <c r="I741" s="1" t="s">
        <v>900</v>
      </c>
      <c r="J741" s="1" t="s">
        <v>901</v>
      </c>
      <c r="K741" s="1" t="s">
        <v>902</v>
      </c>
      <c r="L741" s="1">
        <v>42988.79</v>
      </c>
      <c r="M741" s="1">
        <v>5</v>
      </c>
      <c r="N741" s="1">
        <v>0.15</v>
      </c>
      <c r="O741" s="1">
        <v>182702.36</v>
      </c>
      <c r="P741" s="1">
        <v>59514.98</v>
      </c>
    </row>
    <row r="742" spans="1:16" x14ac:dyDescent="0.3">
      <c r="A742" s="1" t="s">
        <v>1233</v>
      </c>
      <c r="B742" s="2">
        <v>45435</v>
      </c>
      <c r="C742" s="2" t="str">
        <f>TEXT(E_Commerce_data[[#This Row],[order_date]],"MMM")</f>
        <v>May</v>
      </c>
      <c r="D742" s="1" t="s">
        <v>392</v>
      </c>
      <c r="E742" s="1" t="s">
        <v>393</v>
      </c>
      <c r="F742" s="1" t="s">
        <v>76</v>
      </c>
      <c r="G742" s="1" t="s">
        <v>32</v>
      </c>
      <c r="H742" s="2">
        <v>45197</v>
      </c>
      <c r="I742" s="1" t="s">
        <v>1162</v>
      </c>
      <c r="J742" s="1" t="s">
        <v>1163</v>
      </c>
      <c r="K742" s="1" t="s">
        <v>902</v>
      </c>
      <c r="L742" s="1">
        <v>10751.13</v>
      </c>
      <c r="M742" s="1">
        <v>5</v>
      </c>
      <c r="N742" s="1">
        <v>0</v>
      </c>
      <c r="O742" s="1">
        <v>53755.65</v>
      </c>
      <c r="P742" s="1">
        <v>10584.09</v>
      </c>
    </row>
    <row r="743" spans="1:16" x14ac:dyDescent="0.3">
      <c r="A743" s="1" t="s">
        <v>1083</v>
      </c>
      <c r="B743" s="2">
        <v>45926</v>
      </c>
      <c r="C743" s="2" t="str">
        <f>TEXT(E_Commerce_data[[#This Row],[order_date]],"MMM")</f>
        <v>Sep</v>
      </c>
      <c r="D743" s="1" t="s">
        <v>109</v>
      </c>
      <c r="E743" s="1" t="s">
        <v>110</v>
      </c>
      <c r="F743" s="1" t="s">
        <v>31</v>
      </c>
      <c r="G743" s="1" t="s">
        <v>32</v>
      </c>
      <c r="H743" s="2">
        <v>45026</v>
      </c>
      <c r="I743" s="1" t="s">
        <v>1034</v>
      </c>
      <c r="J743" s="1" t="s">
        <v>1035</v>
      </c>
      <c r="K743" s="1" t="s">
        <v>902</v>
      </c>
      <c r="L743" s="1">
        <v>11938.33</v>
      </c>
      <c r="M743" s="1">
        <v>2</v>
      </c>
      <c r="N743" s="1">
        <v>0</v>
      </c>
      <c r="O743" s="1">
        <v>23876.66</v>
      </c>
      <c r="P743" s="1">
        <v>7224.97</v>
      </c>
    </row>
    <row r="744" spans="1:16" x14ac:dyDescent="0.3">
      <c r="A744" s="1" t="s">
        <v>614</v>
      </c>
      <c r="B744" s="2">
        <v>45301</v>
      </c>
      <c r="C744" s="2" t="str">
        <f>TEXT(E_Commerce_data[[#This Row],[order_date]],"MMM")</f>
        <v>Jan</v>
      </c>
      <c r="D744" s="1" t="s">
        <v>66</v>
      </c>
      <c r="E744" s="1" t="s">
        <v>67</v>
      </c>
      <c r="F744" s="1" t="s">
        <v>18</v>
      </c>
      <c r="G744" s="1" t="s">
        <v>19</v>
      </c>
      <c r="H744" s="2">
        <v>45657</v>
      </c>
      <c r="I744" s="1" t="s">
        <v>558</v>
      </c>
      <c r="J744" s="1" t="s">
        <v>559</v>
      </c>
      <c r="K744" s="1" t="s">
        <v>560</v>
      </c>
      <c r="L744" s="1">
        <v>11049.86</v>
      </c>
      <c r="M744" s="1">
        <v>1</v>
      </c>
      <c r="N744" s="1">
        <v>0.2</v>
      </c>
      <c r="O744" s="1">
        <v>8839.89</v>
      </c>
      <c r="P744" s="1">
        <v>1394.15</v>
      </c>
    </row>
    <row r="745" spans="1:16" x14ac:dyDescent="0.3">
      <c r="A745" s="1" t="s">
        <v>541</v>
      </c>
      <c r="B745" s="2">
        <v>45685</v>
      </c>
      <c r="C745" s="2" t="str">
        <f>TEXT(E_Commerce_data[[#This Row],[order_date]],"MMM")</f>
        <v>Jan</v>
      </c>
      <c r="D745" s="1" t="s">
        <v>324</v>
      </c>
      <c r="E745" s="1" t="s">
        <v>325</v>
      </c>
      <c r="F745" s="1" t="s">
        <v>55</v>
      </c>
      <c r="G745" s="1" t="s">
        <v>27</v>
      </c>
      <c r="H745" s="2">
        <v>45473</v>
      </c>
      <c r="I745" s="1" t="s">
        <v>489</v>
      </c>
      <c r="J745" s="1" t="s">
        <v>490</v>
      </c>
      <c r="K745" s="1" t="s">
        <v>22</v>
      </c>
      <c r="L745" s="1">
        <v>11544.23</v>
      </c>
      <c r="M745" s="1">
        <v>4</v>
      </c>
      <c r="N745" s="1">
        <v>0</v>
      </c>
      <c r="O745" s="1">
        <v>46176.92</v>
      </c>
      <c r="P745" s="1">
        <v>5011.9799999999996</v>
      </c>
    </row>
    <row r="746" spans="1:16" x14ac:dyDescent="0.3">
      <c r="A746" s="1" t="s">
        <v>1234</v>
      </c>
      <c r="B746" s="2">
        <v>45710</v>
      </c>
      <c r="C746" s="2" t="str">
        <f>TEXT(E_Commerce_data[[#This Row],[order_date]],"MMM")</f>
        <v>Feb</v>
      </c>
      <c r="D746" s="1" t="s">
        <v>318</v>
      </c>
      <c r="E746" s="1" t="s">
        <v>319</v>
      </c>
      <c r="F746" s="1" t="s">
        <v>93</v>
      </c>
      <c r="G746" s="1" t="s">
        <v>27</v>
      </c>
      <c r="H746" s="2">
        <v>45054</v>
      </c>
      <c r="I746" s="1" t="s">
        <v>1162</v>
      </c>
      <c r="J746" s="1" t="s">
        <v>1163</v>
      </c>
      <c r="K746" s="1" t="s">
        <v>902</v>
      </c>
      <c r="L746" s="1">
        <v>10751.13</v>
      </c>
      <c r="M746" s="1">
        <v>5</v>
      </c>
      <c r="N746" s="1">
        <v>0.1</v>
      </c>
      <c r="O746" s="1">
        <v>48380.08</v>
      </c>
      <c r="P746" s="1">
        <v>11897.67</v>
      </c>
    </row>
    <row r="747" spans="1:16" x14ac:dyDescent="0.3">
      <c r="A747" s="1" t="s">
        <v>881</v>
      </c>
      <c r="B747" s="2">
        <v>45746</v>
      </c>
      <c r="C747" s="2" t="str">
        <f>TEXT(E_Commerce_data[[#This Row],[order_date]],"MMM")</f>
        <v>Mar</v>
      </c>
      <c r="D747" s="1" t="s">
        <v>344</v>
      </c>
      <c r="E747" s="1" t="s">
        <v>345</v>
      </c>
      <c r="F747" s="1" t="s">
        <v>93</v>
      </c>
      <c r="G747" s="1" t="s">
        <v>27</v>
      </c>
      <c r="H747" s="2">
        <v>45356</v>
      </c>
      <c r="I747" s="1" t="s">
        <v>822</v>
      </c>
      <c r="J747" s="1" t="s">
        <v>823</v>
      </c>
      <c r="K747" s="1" t="s">
        <v>560</v>
      </c>
      <c r="L747" s="1">
        <v>45275.73</v>
      </c>
      <c r="M747" s="1">
        <v>4</v>
      </c>
      <c r="N747" s="1">
        <v>0.05</v>
      </c>
      <c r="O747" s="1">
        <v>172047.77</v>
      </c>
      <c r="P747" s="1">
        <v>45255.91</v>
      </c>
    </row>
    <row r="748" spans="1:16" x14ac:dyDescent="0.3">
      <c r="A748" s="1" t="s">
        <v>1149</v>
      </c>
      <c r="B748" s="2">
        <v>45323</v>
      </c>
      <c r="C748" s="2" t="str">
        <f>TEXT(E_Commerce_data[[#This Row],[order_date]],"MMM")</f>
        <v>Feb</v>
      </c>
      <c r="D748" s="1" t="s">
        <v>287</v>
      </c>
      <c r="E748" s="1" t="s">
        <v>288</v>
      </c>
      <c r="F748" s="1" t="s">
        <v>18</v>
      </c>
      <c r="G748" s="1" t="s">
        <v>19</v>
      </c>
      <c r="H748" s="2">
        <v>44959</v>
      </c>
      <c r="I748" s="1" t="s">
        <v>1102</v>
      </c>
      <c r="J748" s="1" t="s">
        <v>1103</v>
      </c>
      <c r="K748" s="1" t="s">
        <v>902</v>
      </c>
      <c r="L748" s="1">
        <v>33465.440000000002</v>
      </c>
      <c r="M748" s="1">
        <v>4</v>
      </c>
      <c r="N748" s="1">
        <v>0</v>
      </c>
      <c r="O748" s="1">
        <v>133861.76000000001</v>
      </c>
      <c r="P748" s="1">
        <v>10013.02</v>
      </c>
    </row>
    <row r="749" spans="1:16" x14ac:dyDescent="0.3">
      <c r="A749" s="1" t="s">
        <v>1017</v>
      </c>
      <c r="B749" s="2">
        <v>45522</v>
      </c>
      <c r="C749" s="2" t="str">
        <f>TEXT(E_Commerce_data[[#This Row],[order_date]],"MMM")</f>
        <v>Aug</v>
      </c>
      <c r="D749" s="1" t="s">
        <v>91</v>
      </c>
      <c r="E749" s="1" t="s">
        <v>92</v>
      </c>
      <c r="F749" s="1" t="s">
        <v>93</v>
      </c>
      <c r="G749" s="1" t="s">
        <v>27</v>
      </c>
      <c r="H749" s="2">
        <v>45550</v>
      </c>
      <c r="I749" s="1" t="s">
        <v>964</v>
      </c>
      <c r="J749" s="1" t="s">
        <v>965</v>
      </c>
      <c r="K749" s="1" t="s">
        <v>902</v>
      </c>
      <c r="L749" s="1">
        <v>3589.32</v>
      </c>
      <c r="M749" s="1">
        <v>2</v>
      </c>
      <c r="N749" s="1">
        <v>0</v>
      </c>
      <c r="O749" s="1">
        <v>7178.64</v>
      </c>
      <c r="P749" s="1">
        <v>429.34</v>
      </c>
    </row>
    <row r="750" spans="1:16" x14ac:dyDescent="0.3">
      <c r="A750" s="1" t="s">
        <v>686</v>
      </c>
      <c r="B750" s="2">
        <v>45760</v>
      </c>
      <c r="C750" s="2" t="str">
        <f>TEXT(E_Commerce_data[[#This Row],[order_date]],"MMM")</f>
        <v>Apr</v>
      </c>
      <c r="D750" s="1" t="s">
        <v>159</v>
      </c>
      <c r="E750" s="1" t="s">
        <v>160</v>
      </c>
      <c r="F750" s="1" t="s">
        <v>76</v>
      </c>
      <c r="G750" s="1" t="s">
        <v>32</v>
      </c>
      <c r="H750" s="2">
        <v>45211</v>
      </c>
      <c r="I750" s="1" t="s">
        <v>633</v>
      </c>
      <c r="J750" s="1" t="s">
        <v>634</v>
      </c>
      <c r="K750" s="1" t="s">
        <v>560</v>
      </c>
      <c r="L750" s="1">
        <v>3596.1</v>
      </c>
      <c r="M750" s="1">
        <v>5</v>
      </c>
      <c r="N750" s="1">
        <v>0</v>
      </c>
      <c r="O750" s="1">
        <v>17980.5</v>
      </c>
      <c r="P750" s="1">
        <v>1806.37</v>
      </c>
    </row>
    <row r="751" spans="1:16" x14ac:dyDescent="0.3">
      <c r="A751" s="1" t="s">
        <v>1150</v>
      </c>
      <c r="B751" s="2">
        <v>45799</v>
      </c>
      <c r="C751" s="2" t="str">
        <f>TEXT(E_Commerce_data[[#This Row],[order_date]],"MMM")</f>
        <v>May</v>
      </c>
      <c r="D751" s="1" t="s">
        <v>195</v>
      </c>
      <c r="E751" s="1" t="s">
        <v>196</v>
      </c>
      <c r="F751" s="1" t="s">
        <v>72</v>
      </c>
      <c r="G751" s="1" t="s">
        <v>48</v>
      </c>
      <c r="H751" s="2">
        <v>45165</v>
      </c>
      <c r="I751" s="1" t="s">
        <v>1102</v>
      </c>
      <c r="J751" s="1" t="s">
        <v>1103</v>
      </c>
      <c r="K751" s="1" t="s">
        <v>902</v>
      </c>
      <c r="L751" s="1">
        <v>33465.440000000002</v>
      </c>
      <c r="M751" s="1">
        <v>5</v>
      </c>
      <c r="N751" s="1">
        <v>0.15</v>
      </c>
      <c r="O751" s="1">
        <v>142228.12</v>
      </c>
      <c r="P751" s="1">
        <v>40074.81</v>
      </c>
    </row>
    <row r="752" spans="1:16" x14ac:dyDescent="0.3">
      <c r="A752" s="1" t="s">
        <v>687</v>
      </c>
      <c r="B752" s="2">
        <v>45408</v>
      </c>
      <c r="C752" s="2" t="str">
        <f>TEXT(E_Commerce_data[[#This Row],[order_date]],"MMM")</f>
        <v>Apr</v>
      </c>
      <c r="D752" s="1" t="s">
        <v>99</v>
      </c>
      <c r="E752" s="1" t="s">
        <v>100</v>
      </c>
      <c r="F752" s="1" t="s">
        <v>43</v>
      </c>
      <c r="G752" s="1" t="s">
        <v>32</v>
      </c>
      <c r="H752" s="2">
        <v>45468</v>
      </c>
      <c r="I752" s="1" t="s">
        <v>633</v>
      </c>
      <c r="J752" s="1" t="s">
        <v>634</v>
      </c>
      <c r="K752" s="1" t="s">
        <v>560</v>
      </c>
      <c r="L752" s="1">
        <v>3596.1</v>
      </c>
      <c r="M752" s="1">
        <v>5</v>
      </c>
      <c r="N752" s="1">
        <v>0.1</v>
      </c>
      <c r="O752" s="1">
        <v>16182.45</v>
      </c>
      <c r="P752" s="1">
        <v>1358.73</v>
      </c>
    </row>
    <row r="753" spans="1:16" x14ac:dyDescent="0.3">
      <c r="A753" s="1" t="s">
        <v>882</v>
      </c>
      <c r="B753" s="2">
        <v>45667</v>
      </c>
      <c r="C753" s="2" t="str">
        <f>TEXT(E_Commerce_data[[#This Row],[order_date]],"MMM")</f>
        <v>Jan</v>
      </c>
      <c r="D753" s="1" t="s">
        <v>361</v>
      </c>
      <c r="E753" s="1" t="s">
        <v>362</v>
      </c>
      <c r="F753" s="1" t="s">
        <v>93</v>
      </c>
      <c r="G753" s="1" t="s">
        <v>27</v>
      </c>
      <c r="H753" s="2">
        <v>45227</v>
      </c>
      <c r="I753" s="1" t="s">
        <v>822</v>
      </c>
      <c r="J753" s="1" t="s">
        <v>823</v>
      </c>
      <c r="K753" s="1" t="s">
        <v>560</v>
      </c>
      <c r="L753" s="1">
        <v>45275.73</v>
      </c>
      <c r="M753" s="1">
        <v>3</v>
      </c>
      <c r="N753" s="1">
        <v>0.2</v>
      </c>
      <c r="O753" s="1">
        <v>108661.75</v>
      </c>
      <c r="P753" s="1">
        <v>23137.55</v>
      </c>
    </row>
    <row r="754" spans="1:16" x14ac:dyDescent="0.3">
      <c r="A754" s="1" t="s">
        <v>807</v>
      </c>
      <c r="B754" s="2">
        <v>45743</v>
      </c>
      <c r="C754" s="2" t="str">
        <f>TEXT(E_Commerce_data[[#This Row],[order_date]],"MMM")</f>
        <v>Mar</v>
      </c>
      <c r="D754" s="1" t="s">
        <v>453</v>
      </c>
      <c r="E754" s="1" t="s">
        <v>454</v>
      </c>
      <c r="F754" s="1" t="s">
        <v>31</v>
      </c>
      <c r="G754" s="1" t="s">
        <v>32</v>
      </c>
      <c r="H754" s="2">
        <v>45143</v>
      </c>
      <c r="I754" s="1" t="s">
        <v>763</v>
      </c>
      <c r="J754" s="1" t="s">
        <v>764</v>
      </c>
      <c r="K754" s="1" t="s">
        <v>560</v>
      </c>
      <c r="L754" s="1">
        <v>11485.64</v>
      </c>
      <c r="M754" s="1">
        <v>5</v>
      </c>
      <c r="N754" s="1">
        <v>0.2</v>
      </c>
      <c r="O754" s="1">
        <v>45942.559999999998</v>
      </c>
      <c r="P754" s="1">
        <v>12727.74</v>
      </c>
    </row>
    <row r="755" spans="1:16" x14ac:dyDescent="0.3">
      <c r="A755" s="1" t="s">
        <v>399</v>
      </c>
      <c r="B755" s="2">
        <v>45396</v>
      </c>
      <c r="C755" s="2" t="str">
        <f>TEXT(E_Commerce_data[[#This Row],[order_date]],"MMM")</f>
        <v>Apr</v>
      </c>
      <c r="D755" s="1" t="s">
        <v>218</v>
      </c>
      <c r="E755" s="1" t="s">
        <v>219</v>
      </c>
      <c r="F755" s="1" t="s">
        <v>47</v>
      </c>
      <c r="G755" s="1" t="s">
        <v>48</v>
      </c>
      <c r="H755" s="2">
        <v>45241</v>
      </c>
      <c r="I755" s="1" t="s">
        <v>315</v>
      </c>
      <c r="J755" s="1" t="s">
        <v>316</v>
      </c>
      <c r="K755" s="1" t="s">
        <v>22</v>
      </c>
      <c r="L755" s="1">
        <v>16937.37</v>
      </c>
      <c r="M755" s="1">
        <v>5</v>
      </c>
      <c r="N755" s="1">
        <v>0</v>
      </c>
      <c r="O755" s="1">
        <v>84686.85</v>
      </c>
      <c r="P755" s="1">
        <v>29380.639999999999</v>
      </c>
    </row>
    <row r="756" spans="1:16" x14ac:dyDescent="0.3">
      <c r="A756" s="1" t="s">
        <v>467</v>
      </c>
      <c r="B756" s="2">
        <v>45325</v>
      </c>
      <c r="C756" s="2" t="str">
        <f>TEXT(E_Commerce_data[[#This Row],[order_date]],"MMM")</f>
        <v>Feb</v>
      </c>
      <c r="D756" s="1" t="s">
        <v>24</v>
      </c>
      <c r="E756" s="1" t="s">
        <v>25</v>
      </c>
      <c r="F756" s="1" t="s">
        <v>26</v>
      </c>
      <c r="G756" s="1" t="s">
        <v>27</v>
      </c>
      <c r="H756" s="2">
        <v>45069</v>
      </c>
      <c r="I756" s="1" t="s">
        <v>420</v>
      </c>
      <c r="J756" s="1" t="s">
        <v>421</v>
      </c>
      <c r="K756" s="1" t="s">
        <v>22</v>
      </c>
      <c r="L756" s="1">
        <v>29436.02</v>
      </c>
      <c r="M756" s="1">
        <v>2</v>
      </c>
      <c r="N756" s="1">
        <v>0</v>
      </c>
      <c r="O756" s="1">
        <v>58872.04</v>
      </c>
      <c r="P756" s="1">
        <v>18394.150000000001</v>
      </c>
    </row>
    <row r="757" spans="1:16" x14ac:dyDescent="0.3">
      <c r="A757" s="1" t="s">
        <v>947</v>
      </c>
      <c r="B757" s="2">
        <v>45381</v>
      </c>
      <c r="C757" s="2" t="str">
        <f>TEXT(E_Commerce_data[[#This Row],[order_date]],"MMM")</f>
        <v>Mar</v>
      </c>
      <c r="D757" s="1" t="s">
        <v>50</v>
      </c>
      <c r="E757" s="1" t="s">
        <v>51</v>
      </c>
      <c r="F757" s="1" t="s">
        <v>47</v>
      </c>
      <c r="G757" s="1" t="s">
        <v>48</v>
      </c>
      <c r="H757" s="2">
        <v>45041</v>
      </c>
      <c r="I757" s="1" t="s">
        <v>900</v>
      </c>
      <c r="J757" s="1" t="s">
        <v>901</v>
      </c>
      <c r="K757" s="1" t="s">
        <v>902</v>
      </c>
      <c r="L757" s="1">
        <v>42988.79</v>
      </c>
      <c r="M757" s="1">
        <v>4</v>
      </c>
      <c r="N757" s="1">
        <v>0</v>
      </c>
      <c r="O757" s="1">
        <v>171955.16</v>
      </c>
      <c r="P757" s="1">
        <v>26579.64</v>
      </c>
    </row>
    <row r="758" spans="1:16" x14ac:dyDescent="0.3">
      <c r="A758" s="1" t="s">
        <v>688</v>
      </c>
      <c r="B758" s="2">
        <v>45534</v>
      </c>
      <c r="C758" s="2" t="str">
        <f>TEXT(E_Commerce_data[[#This Row],[order_date]],"MMM")</f>
        <v>Aug</v>
      </c>
      <c r="D758" s="1" t="s">
        <v>564</v>
      </c>
      <c r="E758" s="1" t="s">
        <v>565</v>
      </c>
      <c r="F758" s="1" t="s">
        <v>55</v>
      </c>
      <c r="G758" s="1" t="s">
        <v>27</v>
      </c>
      <c r="H758" s="2">
        <v>45569</v>
      </c>
      <c r="I758" s="1" t="s">
        <v>633</v>
      </c>
      <c r="J758" s="1" t="s">
        <v>634</v>
      </c>
      <c r="K758" s="1" t="s">
        <v>560</v>
      </c>
      <c r="L758" s="1">
        <v>3596.1</v>
      </c>
      <c r="M758" s="1">
        <v>4</v>
      </c>
      <c r="N758" s="1">
        <v>0.2</v>
      </c>
      <c r="O758" s="1">
        <v>11507.52</v>
      </c>
      <c r="P758" s="1">
        <v>4006.77</v>
      </c>
    </row>
    <row r="759" spans="1:16" x14ac:dyDescent="0.3">
      <c r="A759" s="1" t="s">
        <v>1235</v>
      </c>
      <c r="B759" s="2">
        <v>45997</v>
      </c>
      <c r="C759" s="2" t="str">
        <f>TEXT(E_Commerce_data[[#This Row],[order_date]],"MMM")</f>
        <v>Dec</v>
      </c>
      <c r="D759" s="1" t="s">
        <v>266</v>
      </c>
      <c r="E759" s="1" t="s">
        <v>267</v>
      </c>
      <c r="F759" s="1" t="s">
        <v>72</v>
      </c>
      <c r="G759" s="1" t="s">
        <v>48</v>
      </c>
      <c r="H759" s="2">
        <v>45316</v>
      </c>
      <c r="I759" s="1" t="s">
        <v>1162</v>
      </c>
      <c r="J759" s="1" t="s">
        <v>1163</v>
      </c>
      <c r="K759" s="1" t="s">
        <v>902</v>
      </c>
      <c r="L759" s="1">
        <v>10751.13</v>
      </c>
      <c r="M759" s="1">
        <v>2</v>
      </c>
      <c r="N759" s="1">
        <v>0.2</v>
      </c>
      <c r="O759" s="1">
        <v>17201.810000000001</v>
      </c>
      <c r="P759" s="1">
        <v>4666.57</v>
      </c>
    </row>
    <row r="760" spans="1:16" x14ac:dyDescent="0.3">
      <c r="A760" s="1" t="s">
        <v>689</v>
      </c>
      <c r="B760" s="2">
        <v>45939</v>
      </c>
      <c r="C760" s="2" t="str">
        <f>TEXT(E_Commerce_data[[#This Row],[order_date]],"MMM")</f>
        <v>Oct</v>
      </c>
      <c r="D760" s="1" t="s">
        <v>118</v>
      </c>
      <c r="E760" s="1" t="s">
        <v>119</v>
      </c>
      <c r="F760" s="1" t="s">
        <v>26</v>
      </c>
      <c r="G760" s="1" t="s">
        <v>27</v>
      </c>
      <c r="H760" s="2">
        <v>45086</v>
      </c>
      <c r="I760" s="1" t="s">
        <v>633</v>
      </c>
      <c r="J760" s="1" t="s">
        <v>634</v>
      </c>
      <c r="K760" s="1" t="s">
        <v>560</v>
      </c>
      <c r="L760" s="1">
        <v>3596.1</v>
      </c>
      <c r="M760" s="1">
        <v>3</v>
      </c>
      <c r="N760" s="1">
        <v>0.2</v>
      </c>
      <c r="O760" s="1">
        <v>8630.64</v>
      </c>
      <c r="P760" s="1">
        <v>2271.81</v>
      </c>
    </row>
    <row r="761" spans="1:16" x14ac:dyDescent="0.3">
      <c r="A761" s="1" t="s">
        <v>542</v>
      </c>
      <c r="B761" s="2">
        <v>45503</v>
      </c>
      <c r="C761" s="2" t="str">
        <f>TEXT(E_Commerce_data[[#This Row],[order_date]],"MMM")</f>
        <v>Jul</v>
      </c>
      <c r="D761" s="1" t="s">
        <v>230</v>
      </c>
      <c r="E761" s="1" t="s">
        <v>231</v>
      </c>
      <c r="F761" s="1" t="s">
        <v>72</v>
      </c>
      <c r="G761" s="1" t="s">
        <v>48</v>
      </c>
      <c r="H761" s="2">
        <v>45550</v>
      </c>
      <c r="I761" s="1" t="s">
        <v>489</v>
      </c>
      <c r="J761" s="1" t="s">
        <v>490</v>
      </c>
      <c r="K761" s="1" t="s">
        <v>22</v>
      </c>
      <c r="L761" s="1">
        <v>11544.23</v>
      </c>
      <c r="M761" s="1">
        <v>4</v>
      </c>
      <c r="N761" s="1">
        <v>0</v>
      </c>
      <c r="O761" s="1">
        <v>46176.92</v>
      </c>
      <c r="P761" s="1">
        <v>10844.44</v>
      </c>
    </row>
    <row r="762" spans="1:16" x14ac:dyDescent="0.3">
      <c r="A762" s="1" t="s">
        <v>1236</v>
      </c>
      <c r="B762" s="2">
        <v>45651</v>
      </c>
      <c r="C762" s="2" t="str">
        <f>TEXT(E_Commerce_data[[#This Row],[order_date]],"MMM")</f>
        <v>Dec</v>
      </c>
      <c r="D762" s="1" t="s">
        <v>82</v>
      </c>
      <c r="E762" s="1" t="s">
        <v>83</v>
      </c>
      <c r="F762" s="1" t="s">
        <v>47</v>
      </c>
      <c r="G762" s="1" t="s">
        <v>48</v>
      </c>
      <c r="H762" s="2">
        <v>45279</v>
      </c>
      <c r="I762" s="1" t="s">
        <v>1162</v>
      </c>
      <c r="J762" s="1" t="s">
        <v>1163</v>
      </c>
      <c r="K762" s="1" t="s">
        <v>902</v>
      </c>
      <c r="L762" s="1">
        <v>10751.13</v>
      </c>
      <c r="M762" s="1">
        <v>2</v>
      </c>
      <c r="N762" s="1">
        <v>0.2</v>
      </c>
      <c r="O762" s="1">
        <v>17201.810000000001</v>
      </c>
      <c r="P762" s="1">
        <v>1166.4100000000001</v>
      </c>
    </row>
    <row r="763" spans="1:16" x14ac:dyDescent="0.3">
      <c r="A763" s="1" t="s">
        <v>468</v>
      </c>
      <c r="B763" s="2">
        <v>45464</v>
      </c>
      <c r="C763" s="2" t="str">
        <f>TEXT(E_Commerce_data[[#This Row],[order_date]],"MMM")</f>
        <v>Jun</v>
      </c>
      <c r="D763" s="1" t="s">
        <v>203</v>
      </c>
      <c r="E763" s="1" t="s">
        <v>204</v>
      </c>
      <c r="F763" s="1" t="s">
        <v>76</v>
      </c>
      <c r="G763" s="1" t="s">
        <v>32</v>
      </c>
      <c r="H763" s="2">
        <v>45297</v>
      </c>
      <c r="I763" s="1" t="s">
        <v>420</v>
      </c>
      <c r="J763" s="1" t="s">
        <v>421</v>
      </c>
      <c r="K763" s="1" t="s">
        <v>22</v>
      </c>
      <c r="L763" s="1">
        <v>29436.02</v>
      </c>
      <c r="M763" s="1">
        <v>5</v>
      </c>
      <c r="N763" s="1">
        <v>0</v>
      </c>
      <c r="O763" s="1">
        <v>147180.1</v>
      </c>
      <c r="P763" s="1">
        <v>33712.68</v>
      </c>
    </row>
    <row r="764" spans="1:16" x14ac:dyDescent="0.3">
      <c r="A764" s="1" t="s">
        <v>1237</v>
      </c>
      <c r="B764" s="2">
        <v>45878</v>
      </c>
      <c r="C764" s="2" t="str">
        <f>TEXT(E_Commerce_data[[#This Row],[order_date]],"MMM")</f>
        <v>Aug</v>
      </c>
      <c r="D764" s="1" t="s">
        <v>643</v>
      </c>
      <c r="E764" s="1" t="s">
        <v>644</v>
      </c>
      <c r="F764" s="1" t="s">
        <v>93</v>
      </c>
      <c r="G764" s="1" t="s">
        <v>27</v>
      </c>
      <c r="H764" s="2">
        <v>45130</v>
      </c>
      <c r="I764" s="1" t="s">
        <v>1162</v>
      </c>
      <c r="J764" s="1" t="s">
        <v>1163</v>
      </c>
      <c r="K764" s="1" t="s">
        <v>902</v>
      </c>
      <c r="L764" s="1">
        <v>10751.13</v>
      </c>
      <c r="M764" s="1">
        <v>3</v>
      </c>
      <c r="N764" s="1">
        <v>0.15</v>
      </c>
      <c r="O764" s="1">
        <v>27415.38</v>
      </c>
      <c r="P764" s="1">
        <v>3777.58</v>
      </c>
    </row>
    <row r="765" spans="1:16" x14ac:dyDescent="0.3">
      <c r="A765" s="1" t="s">
        <v>170</v>
      </c>
      <c r="B765" s="2">
        <v>45987</v>
      </c>
      <c r="C765" s="2" t="str">
        <f>TEXT(E_Commerce_data[[#This Row],[order_date]],"MMM")</f>
        <v>Nov</v>
      </c>
      <c r="D765" s="1" t="s">
        <v>171</v>
      </c>
      <c r="E765" s="1" t="s">
        <v>172</v>
      </c>
      <c r="F765" s="1" t="s">
        <v>47</v>
      </c>
      <c r="G765" s="1" t="s">
        <v>48</v>
      </c>
      <c r="H765" s="2">
        <v>45093</v>
      </c>
      <c r="I765" s="1" t="s">
        <v>20</v>
      </c>
      <c r="J765" s="1" t="s">
        <v>21</v>
      </c>
      <c r="K765" s="1" t="s">
        <v>22</v>
      </c>
      <c r="L765" s="1">
        <v>6094.16</v>
      </c>
      <c r="M765" s="1">
        <v>3</v>
      </c>
      <c r="N765" s="1">
        <v>0.2</v>
      </c>
      <c r="O765" s="1">
        <v>14625.98</v>
      </c>
      <c r="P765" s="1">
        <v>2988.45</v>
      </c>
    </row>
    <row r="766" spans="1:16" x14ac:dyDescent="0.3">
      <c r="A766" s="1" t="s">
        <v>742</v>
      </c>
      <c r="B766" s="2">
        <v>45713</v>
      </c>
      <c r="C766" s="2" t="str">
        <f>TEXT(E_Commerce_data[[#This Row],[order_date]],"MMM")</f>
        <v>Feb</v>
      </c>
      <c r="D766" s="1" t="s">
        <v>50</v>
      </c>
      <c r="E766" s="1" t="s">
        <v>51</v>
      </c>
      <c r="F766" s="1" t="s">
        <v>47</v>
      </c>
      <c r="G766" s="1" t="s">
        <v>48</v>
      </c>
      <c r="H766" s="2">
        <v>45041</v>
      </c>
      <c r="I766" s="1" t="s">
        <v>706</v>
      </c>
      <c r="J766" s="1" t="s">
        <v>707</v>
      </c>
      <c r="K766" s="1" t="s">
        <v>560</v>
      </c>
      <c r="L766" s="1">
        <v>31573.59</v>
      </c>
      <c r="M766" s="1">
        <v>1</v>
      </c>
      <c r="N766" s="1">
        <v>0</v>
      </c>
      <c r="O766" s="1">
        <v>31573.59</v>
      </c>
      <c r="P766" s="1">
        <v>10698.13</v>
      </c>
    </row>
    <row r="767" spans="1:16" x14ac:dyDescent="0.3">
      <c r="A767" s="1" t="s">
        <v>615</v>
      </c>
      <c r="B767" s="2">
        <v>45421</v>
      </c>
      <c r="C767" s="2" t="str">
        <f>TEXT(E_Commerce_data[[#This Row],[order_date]],"MMM")</f>
        <v>May</v>
      </c>
      <c r="D767" s="1" t="s">
        <v>225</v>
      </c>
      <c r="E767" s="1" t="s">
        <v>226</v>
      </c>
      <c r="F767" s="1" t="s">
        <v>76</v>
      </c>
      <c r="G767" s="1" t="s">
        <v>32</v>
      </c>
      <c r="H767" s="2">
        <v>45335</v>
      </c>
      <c r="I767" s="1" t="s">
        <v>558</v>
      </c>
      <c r="J767" s="1" t="s">
        <v>559</v>
      </c>
      <c r="K767" s="1" t="s">
        <v>560</v>
      </c>
      <c r="L767" s="1">
        <v>11049.86</v>
      </c>
      <c r="M767" s="1">
        <v>1</v>
      </c>
      <c r="N767" s="1">
        <v>0</v>
      </c>
      <c r="O767" s="1">
        <v>11049.86</v>
      </c>
      <c r="P767" s="1">
        <v>3426.72</v>
      </c>
    </row>
    <row r="768" spans="1:16" x14ac:dyDescent="0.3">
      <c r="A768" s="1" t="s">
        <v>1084</v>
      </c>
      <c r="B768" s="2">
        <v>45621</v>
      </c>
      <c r="C768" s="2" t="str">
        <f>TEXT(E_Commerce_data[[#This Row],[order_date]],"MMM")</f>
        <v>Nov</v>
      </c>
      <c r="D768" s="1" t="s">
        <v>142</v>
      </c>
      <c r="E768" s="1" t="s">
        <v>143</v>
      </c>
      <c r="F768" s="1" t="s">
        <v>93</v>
      </c>
      <c r="G768" s="1" t="s">
        <v>27</v>
      </c>
      <c r="H768" s="2">
        <v>45109</v>
      </c>
      <c r="I768" s="1" t="s">
        <v>1034</v>
      </c>
      <c r="J768" s="1" t="s">
        <v>1035</v>
      </c>
      <c r="K768" s="1" t="s">
        <v>902</v>
      </c>
      <c r="L768" s="1">
        <v>11938.33</v>
      </c>
      <c r="M768" s="1">
        <v>2</v>
      </c>
      <c r="N768" s="1">
        <v>0</v>
      </c>
      <c r="O768" s="1">
        <v>23876.66</v>
      </c>
      <c r="P768" s="1">
        <v>2241.37</v>
      </c>
    </row>
    <row r="769" spans="1:16" x14ac:dyDescent="0.3">
      <c r="A769" s="1" t="s">
        <v>543</v>
      </c>
      <c r="B769" s="2">
        <v>45694</v>
      </c>
      <c r="C769" s="2" t="str">
        <f>TEXT(E_Commerce_data[[#This Row],[order_date]],"MMM")</f>
        <v>Feb</v>
      </c>
      <c r="D769" s="1" t="s">
        <v>74</v>
      </c>
      <c r="E769" s="1" t="s">
        <v>75</v>
      </c>
      <c r="F769" s="1" t="s">
        <v>76</v>
      </c>
      <c r="G769" s="1" t="s">
        <v>32</v>
      </c>
      <c r="H769" s="2">
        <v>44954</v>
      </c>
      <c r="I769" s="1" t="s">
        <v>489</v>
      </c>
      <c r="J769" s="1" t="s">
        <v>490</v>
      </c>
      <c r="K769" s="1" t="s">
        <v>22</v>
      </c>
      <c r="L769" s="1">
        <v>11544.23</v>
      </c>
      <c r="M769" s="1">
        <v>2</v>
      </c>
      <c r="N769" s="1">
        <v>0.2</v>
      </c>
      <c r="O769" s="1">
        <v>18470.77</v>
      </c>
      <c r="P769" s="1">
        <v>5597.88</v>
      </c>
    </row>
    <row r="770" spans="1:16" x14ac:dyDescent="0.3">
      <c r="A770" s="1" t="s">
        <v>883</v>
      </c>
      <c r="B770" s="2">
        <v>45567</v>
      </c>
      <c r="C770" s="2" t="str">
        <f>TEXT(E_Commerce_data[[#This Row],[order_date]],"MMM")</f>
        <v>Oct</v>
      </c>
      <c r="D770" s="1" t="s">
        <v>449</v>
      </c>
      <c r="E770" s="1" t="s">
        <v>450</v>
      </c>
      <c r="F770" s="1" t="s">
        <v>93</v>
      </c>
      <c r="G770" s="1" t="s">
        <v>27</v>
      </c>
      <c r="H770" s="2">
        <v>45035</v>
      </c>
      <c r="I770" s="1" t="s">
        <v>822</v>
      </c>
      <c r="J770" s="1" t="s">
        <v>823</v>
      </c>
      <c r="K770" s="1" t="s">
        <v>560</v>
      </c>
      <c r="L770" s="1">
        <v>45275.73</v>
      </c>
      <c r="M770" s="1">
        <v>4</v>
      </c>
      <c r="N770" s="1">
        <v>0</v>
      </c>
      <c r="O770" s="1">
        <v>181102.92</v>
      </c>
      <c r="P770" s="1">
        <v>40427.18</v>
      </c>
    </row>
    <row r="771" spans="1:16" x14ac:dyDescent="0.3">
      <c r="A771" s="1" t="s">
        <v>1085</v>
      </c>
      <c r="B771" s="2">
        <v>45940</v>
      </c>
      <c r="C771" s="2" t="str">
        <f>TEXT(E_Commerce_data[[#This Row],[order_date]],"MMM")</f>
        <v>Oct</v>
      </c>
      <c r="D771" s="1" t="s">
        <v>125</v>
      </c>
      <c r="E771" s="1" t="s">
        <v>126</v>
      </c>
      <c r="F771" s="1" t="s">
        <v>72</v>
      </c>
      <c r="G771" s="1" t="s">
        <v>48</v>
      </c>
      <c r="H771" s="2">
        <v>44952</v>
      </c>
      <c r="I771" s="1" t="s">
        <v>1034</v>
      </c>
      <c r="J771" s="1" t="s">
        <v>1035</v>
      </c>
      <c r="K771" s="1" t="s">
        <v>902</v>
      </c>
      <c r="L771" s="1">
        <v>11938.33</v>
      </c>
      <c r="M771" s="1">
        <v>4</v>
      </c>
      <c r="N771" s="1">
        <v>0.05</v>
      </c>
      <c r="O771" s="1">
        <v>45365.65</v>
      </c>
      <c r="P771" s="1">
        <v>8419.75</v>
      </c>
    </row>
    <row r="772" spans="1:16" x14ac:dyDescent="0.3">
      <c r="A772" s="1" t="s">
        <v>1151</v>
      </c>
      <c r="B772" s="2">
        <v>45576</v>
      </c>
      <c r="C772" s="2" t="str">
        <f>TEXT(E_Commerce_data[[#This Row],[order_date]],"MMM")</f>
        <v>Oct</v>
      </c>
      <c r="D772" s="1" t="s">
        <v>263</v>
      </c>
      <c r="E772" s="1" t="s">
        <v>264</v>
      </c>
      <c r="F772" s="1" t="s">
        <v>36</v>
      </c>
      <c r="G772" s="1" t="s">
        <v>32</v>
      </c>
      <c r="H772" s="2">
        <v>45397</v>
      </c>
      <c r="I772" s="1" t="s">
        <v>1102</v>
      </c>
      <c r="J772" s="1" t="s">
        <v>1103</v>
      </c>
      <c r="K772" s="1" t="s">
        <v>902</v>
      </c>
      <c r="L772" s="1">
        <v>33465.440000000002</v>
      </c>
      <c r="M772" s="1">
        <v>1</v>
      </c>
      <c r="N772" s="1">
        <v>0.05</v>
      </c>
      <c r="O772" s="1">
        <v>31792.17</v>
      </c>
      <c r="P772" s="1">
        <v>6507.35</v>
      </c>
    </row>
    <row r="773" spans="1:16" x14ac:dyDescent="0.3">
      <c r="A773" s="1" t="s">
        <v>690</v>
      </c>
      <c r="B773" s="2">
        <v>45627</v>
      </c>
      <c r="C773" s="2" t="str">
        <f>TEXT(E_Commerce_data[[#This Row],[order_date]],"MMM")</f>
        <v>Dec</v>
      </c>
      <c r="D773" s="1" t="s">
        <v>121</v>
      </c>
      <c r="E773" s="1" t="s">
        <v>122</v>
      </c>
      <c r="F773" s="1" t="s">
        <v>26</v>
      </c>
      <c r="G773" s="1" t="s">
        <v>27</v>
      </c>
      <c r="H773" s="2">
        <v>44994</v>
      </c>
      <c r="I773" s="1" t="s">
        <v>633</v>
      </c>
      <c r="J773" s="1" t="s">
        <v>634</v>
      </c>
      <c r="K773" s="1" t="s">
        <v>560</v>
      </c>
      <c r="L773" s="1">
        <v>3596.1</v>
      </c>
      <c r="M773" s="1">
        <v>3</v>
      </c>
      <c r="N773" s="1">
        <v>0.05</v>
      </c>
      <c r="O773" s="1">
        <v>10248.879999999999</v>
      </c>
      <c r="P773" s="1">
        <v>3434.16</v>
      </c>
    </row>
    <row r="774" spans="1:16" x14ac:dyDescent="0.3">
      <c r="A774" s="1" t="s">
        <v>1018</v>
      </c>
      <c r="B774" s="2">
        <v>45387</v>
      </c>
      <c r="C774" s="2" t="str">
        <f>TEXT(E_Commerce_data[[#This Row],[order_date]],"MMM")</f>
        <v>Apr</v>
      </c>
      <c r="D774" s="1" t="s">
        <v>57</v>
      </c>
      <c r="E774" s="1" t="s">
        <v>58</v>
      </c>
      <c r="F774" s="1" t="s">
        <v>55</v>
      </c>
      <c r="G774" s="1" t="s">
        <v>27</v>
      </c>
      <c r="H774" s="2">
        <v>45391</v>
      </c>
      <c r="I774" s="1" t="s">
        <v>964</v>
      </c>
      <c r="J774" s="1" t="s">
        <v>965</v>
      </c>
      <c r="K774" s="1" t="s">
        <v>902</v>
      </c>
      <c r="L774" s="1">
        <v>3589.32</v>
      </c>
      <c r="M774" s="1">
        <v>5</v>
      </c>
      <c r="N774" s="1">
        <v>0</v>
      </c>
      <c r="O774" s="1">
        <v>17946.599999999999</v>
      </c>
      <c r="P774" s="1">
        <v>5575.51</v>
      </c>
    </row>
    <row r="775" spans="1:16" x14ac:dyDescent="0.3">
      <c r="A775" s="1" t="s">
        <v>400</v>
      </c>
      <c r="B775" s="2">
        <v>45658</v>
      </c>
      <c r="C775" s="2" t="str">
        <f>TEXT(E_Commerce_data[[#This Row],[order_date]],"MMM")</f>
        <v>Jan</v>
      </c>
      <c r="D775" s="1" t="s">
        <v>218</v>
      </c>
      <c r="E775" s="1" t="s">
        <v>219</v>
      </c>
      <c r="F775" s="1" t="s">
        <v>47</v>
      </c>
      <c r="G775" s="1" t="s">
        <v>48</v>
      </c>
      <c r="H775" s="2">
        <v>45241</v>
      </c>
      <c r="I775" s="1" t="s">
        <v>315</v>
      </c>
      <c r="J775" s="1" t="s">
        <v>316</v>
      </c>
      <c r="K775" s="1" t="s">
        <v>22</v>
      </c>
      <c r="L775" s="1">
        <v>16937.37</v>
      </c>
      <c r="M775" s="1">
        <v>4</v>
      </c>
      <c r="N775" s="1">
        <v>0.15</v>
      </c>
      <c r="O775" s="1">
        <v>57587.06</v>
      </c>
      <c r="P775" s="1">
        <v>14353.18</v>
      </c>
    </row>
    <row r="776" spans="1:16" x14ac:dyDescent="0.3">
      <c r="A776" s="1" t="s">
        <v>173</v>
      </c>
      <c r="B776" s="2">
        <v>45515</v>
      </c>
      <c r="C776" s="2" t="str">
        <f>TEXT(E_Commerce_data[[#This Row],[order_date]],"MMM")</f>
        <v>Aug</v>
      </c>
      <c r="D776" s="1" t="s">
        <v>78</v>
      </c>
      <c r="E776" s="1" t="s">
        <v>79</v>
      </c>
      <c r="F776" s="1" t="s">
        <v>76</v>
      </c>
      <c r="G776" s="1" t="s">
        <v>32</v>
      </c>
      <c r="H776" s="2">
        <v>45365</v>
      </c>
      <c r="I776" s="1" t="s">
        <v>20</v>
      </c>
      <c r="J776" s="1" t="s">
        <v>21</v>
      </c>
      <c r="K776" s="1" t="s">
        <v>22</v>
      </c>
      <c r="L776" s="1">
        <v>6094.16</v>
      </c>
      <c r="M776" s="1">
        <v>1</v>
      </c>
      <c r="N776" s="1">
        <v>0.2</v>
      </c>
      <c r="O776" s="1">
        <v>4875.33</v>
      </c>
      <c r="P776" s="1">
        <v>1025.42</v>
      </c>
    </row>
    <row r="777" spans="1:16" x14ac:dyDescent="0.3">
      <c r="A777" s="1" t="s">
        <v>948</v>
      </c>
      <c r="B777" s="2">
        <v>45566</v>
      </c>
      <c r="C777" s="2" t="str">
        <f>TEXT(E_Commerce_data[[#This Row],[order_date]],"MMM")</f>
        <v>Oct</v>
      </c>
      <c r="D777" s="1" t="s">
        <v>186</v>
      </c>
      <c r="E777" s="1" t="s">
        <v>187</v>
      </c>
      <c r="F777" s="1" t="s">
        <v>26</v>
      </c>
      <c r="G777" s="1" t="s">
        <v>27</v>
      </c>
      <c r="H777" s="2">
        <v>45493</v>
      </c>
      <c r="I777" s="1" t="s">
        <v>900</v>
      </c>
      <c r="J777" s="1" t="s">
        <v>901</v>
      </c>
      <c r="K777" s="1" t="s">
        <v>902</v>
      </c>
      <c r="L777" s="1">
        <v>42988.79</v>
      </c>
      <c r="M777" s="1">
        <v>4</v>
      </c>
      <c r="N777" s="1">
        <v>0.2</v>
      </c>
      <c r="O777" s="1">
        <v>137564.13</v>
      </c>
      <c r="P777" s="1">
        <v>15621.16</v>
      </c>
    </row>
    <row r="778" spans="1:16" x14ac:dyDescent="0.3">
      <c r="A778" s="1" t="s">
        <v>743</v>
      </c>
      <c r="B778" s="2">
        <v>45852</v>
      </c>
      <c r="C778" s="2" t="str">
        <f>TEXT(E_Commerce_data[[#This Row],[order_date]],"MMM")</f>
        <v>Jul</v>
      </c>
      <c r="D778" s="1" t="s">
        <v>179</v>
      </c>
      <c r="E778" s="1" t="s">
        <v>180</v>
      </c>
      <c r="F778" s="1" t="s">
        <v>47</v>
      </c>
      <c r="G778" s="1" t="s">
        <v>48</v>
      </c>
      <c r="H778" s="2">
        <v>45337</v>
      </c>
      <c r="I778" s="1" t="s">
        <v>706</v>
      </c>
      <c r="J778" s="1" t="s">
        <v>707</v>
      </c>
      <c r="K778" s="1" t="s">
        <v>560</v>
      </c>
      <c r="L778" s="1">
        <v>31573.59</v>
      </c>
      <c r="M778" s="1">
        <v>3</v>
      </c>
      <c r="N778" s="1">
        <v>0.2</v>
      </c>
      <c r="O778" s="1">
        <v>75776.62</v>
      </c>
      <c r="P778" s="1">
        <v>10235.75</v>
      </c>
    </row>
    <row r="779" spans="1:16" x14ac:dyDescent="0.3">
      <c r="A779" s="1" t="s">
        <v>1086</v>
      </c>
      <c r="B779" s="2">
        <v>45788</v>
      </c>
      <c r="C779" s="2" t="str">
        <f>TEXT(E_Commerce_data[[#This Row],[order_date]],"MMM")</f>
        <v>May</v>
      </c>
      <c r="D779" s="1" t="s">
        <v>318</v>
      </c>
      <c r="E779" s="1" t="s">
        <v>319</v>
      </c>
      <c r="F779" s="1" t="s">
        <v>93</v>
      </c>
      <c r="G779" s="1" t="s">
        <v>27</v>
      </c>
      <c r="H779" s="2">
        <v>45054</v>
      </c>
      <c r="I779" s="1" t="s">
        <v>1034</v>
      </c>
      <c r="J779" s="1" t="s">
        <v>1035</v>
      </c>
      <c r="K779" s="1" t="s">
        <v>902</v>
      </c>
      <c r="L779" s="1">
        <v>11938.33</v>
      </c>
      <c r="M779" s="1">
        <v>5</v>
      </c>
      <c r="N779" s="1">
        <v>0</v>
      </c>
      <c r="O779" s="1">
        <v>59691.65</v>
      </c>
      <c r="P779" s="1">
        <v>13122.77</v>
      </c>
    </row>
    <row r="780" spans="1:16" x14ac:dyDescent="0.3">
      <c r="A780" s="1" t="s">
        <v>1238</v>
      </c>
      <c r="B780" s="2">
        <v>45339</v>
      </c>
      <c r="C780" s="2" t="str">
        <f>TEXT(E_Commerce_data[[#This Row],[order_date]],"MMM")</f>
        <v>Feb</v>
      </c>
      <c r="D780" s="1" t="s">
        <v>329</v>
      </c>
      <c r="E780" s="1" t="s">
        <v>330</v>
      </c>
      <c r="F780" s="1" t="s">
        <v>31</v>
      </c>
      <c r="G780" s="1" t="s">
        <v>32</v>
      </c>
      <c r="H780" s="2">
        <v>45275</v>
      </c>
      <c r="I780" s="1" t="s">
        <v>1162</v>
      </c>
      <c r="J780" s="1" t="s">
        <v>1163</v>
      </c>
      <c r="K780" s="1" t="s">
        <v>902</v>
      </c>
      <c r="L780" s="1">
        <v>10751.13</v>
      </c>
      <c r="M780" s="1">
        <v>3</v>
      </c>
      <c r="N780" s="1">
        <v>0.15</v>
      </c>
      <c r="O780" s="1">
        <v>27415.38</v>
      </c>
      <c r="P780" s="1">
        <v>7640.01</v>
      </c>
    </row>
    <row r="781" spans="1:16" x14ac:dyDescent="0.3">
      <c r="A781" s="1" t="s">
        <v>1087</v>
      </c>
      <c r="B781" s="2">
        <v>45762</v>
      </c>
      <c r="C781" s="2" t="str">
        <f>TEXT(E_Commerce_data[[#This Row],[order_date]],"MMM")</f>
        <v>Apr</v>
      </c>
      <c r="D781" s="1" t="s">
        <v>96</v>
      </c>
      <c r="E781" s="1" t="s">
        <v>97</v>
      </c>
      <c r="F781" s="1" t="s">
        <v>18</v>
      </c>
      <c r="G781" s="1" t="s">
        <v>19</v>
      </c>
      <c r="H781" s="2">
        <v>45094</v>
      </c>
      <c r="I781" s="1" t="s">
        <v>1034</v>
      </c>
      <c r="J781" s="1" t="s">
        <v>1035</v>
      </c>
      <c r="K781" s="1" t="s">
        <v>902</v>
      </c>
      <c r="L781" s="1">
        <v>11938.33</v>
      </c>
      <c r="M781" s="1">
        <v>1</v>
      </c>
      <c r="N781" s="1">
        <v>0.15</v>
      </c>
      <c r="O781" s="1">
        <v>10147.58</v>
      </c>
      <c r="P781" s="1">
        <v>2893.75</v>
      </c>
    </row>
    <row r="782" spans="1:16" x14ac:dyDescent="0.3">
      <c r="A782" s="1" t="s">
        <v>691</v>
      </c>
      <c r="B782" s="2">
        <v>45453</v>
      </c>
      <c r="C782" s="2" t="str">
        <f>TEXT(E_Commerce_data[[#This Row],[order_date]],"MMM")</f>
        <v>Jun</v>
      </c>
      <c r="D782" s="1" t="s">
        <v>335</v>
      </c>
      <c r="E782" s="1" t="s">
        <v>336</v>
      </c>
      <c r="F782" s="1" t="s">
        <v>43</v>
      </c>
      <c r="G782" s="1" t="s">
        <v>32</v>
      </c>
      <c r="H782" s="2">
        <v>45315</v>
      </c>
      <c r="I782" s="1" t="s">
        <v>633</v>
      </c>
      <c r="J782" s="1" t="s">
        <v>634</v>
      </c>
      <c r="K782" s="1" t="s">
        <v>560</v>
      </c>
      <c r="L782" s="1">
        <v>3596.1</v>
      </c>
      <c r="M782" s="1">
        <v>1</v>
      </c>
      <c r="N782" s="1">
        <v>0</v>
      </c>
      <c r="O782" s="1">
        <v>3596.1</v>
      </c>
      <c r="P782" s="1">
        <v>1182.51</v>
      </c>
    </row>
    <row r="783" spans="1:16" x14ac:dyDescent="0.3">
      <c r="A783" s="1" t="s">
        <v>174</v>
      </c>
      <c r="B783" s="2">
        <v>45730</v>
      </c>
      <c r="C783" s="2" t="str">
        <f>TEXT(E_Commerce_data[[#This Row],[order_date]],"MMM")</f>
        <v>Mar</v>
      </c>
      <c r="D783" s="1" t="s">
        <v>175</v>
      </c>
      <c r="E783" s="1" t="s">
        <v>176</v>
      </c>
      <c r="F783" s="1" t="s">
        <v>26</v>
      </c>
      <c r="G783" s="1" t="s">
        <v>27</v>
      </c>
      <c r="H783" s="2">
        <v>45581</v>
      </c>
      <c r="I783" s="1" t="s">
        <v>20</v>
      </c>
      <c r="J783" s="1" t="s">
        <v>21</v>
      </c>
      <c r="K783" s="1" t="s">
        <v>22</v>
      </c>
      <c r="L783" s="1">
        <v>6094.16</v>
      </c>
      <c r="M783" s="1">
        <v>4</v>
      </c>
      <c r="N783" s="1">
        <v>0.05</v>
      </c>
      <c r="O783" s="1">
        <v>23157.81</v>
      </c>
      <c r="P783" s="1">
        <v>1162.5899999999999</v>
      </c>
    </row>
    <row r="784" spans="1:16" x14ac:dyDescent="0.3">
      <c r="A784" s="1" t="s">
        <v>616</v>
      </c>
      <c r="B784" s="2">
        <v>45957</v>
      </c>
      <c r="C784" s="2" t="str">
        <f>TEXT(E_Commerce_data[[#This Row],[order_date]],"MMM")</f>
        <v>Oct</v>
      </c>
      <c r="D784" s="1" t="s">
        <v>175</v>
      </c>
      <c r="E784" s="1" t="s">
        <v>176</v>
      </c>
      <c r="F784" s="1" t="s">
        <v>26</v>
      </c>
      <c r="G784" s="1" t="s">
        <v>27</v>
      </c>
      <c r="H784" s="2">
        <v>45581</v>
      </c>
      <c r="I784" s="1" t="s">
        <v>558</v>
      </c>
      <c r="J784" s="1" t="s">
        <v>559</v>
      </c>
      <c r="K784" s="1" t="s">
        <v>560</v>
      </c>
      <c r="L784" s="1">
        <v>11049.86</v>
      </c>
      <c r="M784" s="1">
        <v>2</v>
      </c>
      <c r="N784" s="1">
        <v>0.15</v>
      </c>
      <c r="O784" s="1">
        <v>18784.759999999998</v>
      </c>
      <c r="P784" s="1">
        <v>6064.14</v>
      </c>
    </row>
    <row r="785" spans="1:16" x14ac:dyDescent="0.3">
      <c r="A785" s="1" t="s">
        <v>617</v>
      </c>
      <c r="B785" s="2">
        <v>45572</v>
      </c>
      <c r="C785" s="2" t="str">
        <f>TEXT(E_Commerce_data[[#This Row],[order_date]],"MMM")</f>
        <v>Oct</v>
      </c>
      <c r="D785" s="1" t="s">
        <v>139</v>
      </c>
      <c r="E785" s="1" t="s">
        <v>140</v>
      </c>
      <c r="F785" s="1" t="s">
        <v>47</v>
      </c>
      <c r="G785" s="1" t="s">
        <v>48</v>
      </c>
      <c r="H785" s="2">
        <v>44984</v>
      </c>
      <c r="I785" s="1" t="s">
        <v>558</v>
      </c>
      <c r="J785" s="1" t="s">
        <v>559</v>
      </c>
      <c r="K785" s="1" t="s">
        <v>560</v>
      </c>
      <c r="L785" s="1">
        <v>11049.86</v>
      </c>
      <c r="M785" s="1">
        <v>3</v>
      </c>
      <c r="N785" s="1">
        <v>0</v>
      </c>
      <c r="O785" s="1">
        <v>33149.58</v>
      </c>
      <c r="P785" s="1">
        <v>10353.51</v>
      </c>
    </row>
    <row r="786" spans="1:16" x14ac:dyDescent="0.3">
      <c r="A786" s="1" t="s">
        <v>692</v>
      </c>
      <c r="B786" s="2">
        <v>45376</v>
      </c>
      <c r="C786" s="2" t="str">
        <f>TEXT(E_Commerce_data[[#This Row],[order_date]],"MMM")</f>
        <v>Mar</v>
      </c>
      <c r="D786" s="1" t="s">
        <v>338</v>
      </c>
      <c r="E786" s="1" t="s">
        <v>339</v>
      </c>
      <c r="F786" s="1" t="s">
        <v>93</v>
      </c>
      <c r="G786" s="1" t="s">
        <v>27</v>
      </c>
      <c r="H786" s="2">
        <v>45016</v>
      </c>
      <c r="I786" s="1" t="s">
        <v>633</v>
      </c>
      <c r="J786" s="1" t="s">
        <v>634</v>
      </c>
      <c r="K786" s="1" t="s">
        <v>560</v>
      </c>
      <c r="L786" s="1">
        <v>3596.1</v>
      </c>
      <c r="M786" s="1">
        <v>1</v>
      </c>
      <c r="N786" s="1">
        <v>0.15</v>
      </c>
      <c r="O786" s="1">
        <v>3056.68</v>
      </c>
      <c r="P786" s="1">
        <v>483.35</v>
      </c>
    </row>
    <row r="787" spans="1:16" x14ac:dyDescent="0.3">
      <c r="A787" s="1" t="s">
        <v>884</v>
      </c>
      <c r="B787" s="2">
        <v>45461</v>
      </c>
      <c r="C787" s="2" t="str">
        <f>TEXT(E_Commerce_data[[#This Row],[order_date]],"MMM")</f>
        <v>Jun</v>
      </c>
      <c r="D787" s="1" t="s">
        <v>573</v>
      </c>
      <c r="E787" s="1" t="s">
        <v>574</v>
      </c>
      <c r="F787" s="1" t="s">
        <v>36</v>
      </c>
      <c r="G787" s="1" t="s">
        <v>32</v>
      </c>
      <c r="H787" s="2">
        <v>45540</v>
      </c>
      <c r="I787" s="1" t="s">
        <v>822</v>
      </c>
      <c r="J787" s="1" t="s">
        <v>823</v>
      </c>
      <c r="K787" s="1" t="s">
        <v>560</v>
      </c>
      <c r="L787" s="1">
        <v>45275.73</v>
      </c>
      <c r="M787" s="1">
        <v>3</v>
      </c>
      <c r="N787" s="1">
        <v>0.15</v>
      </c>
      <c r="O787" s="1">
        <v>115453.11</v>
      </c>
      <c r="P787" s="1">
        <v>37076.620000000003</v>
      </c>
    </row>
    <row r="788" spans="1:16" x14ac:dyDescent="0.3">
      <c r="A788" s="1" t="s">
        <v>1088</v>
      </c>
      <c r="B788" s="2">
        <v>46008</v>
      </c>
      <c r="C788" s="2" t="str">
        <f>TEXT(E_Commerce_data[[#This Row],[order_date]],"MMM")</f>
        <v>Dec</v>
      </c>
      <c r="D788" s="1" t="s">
        <v>199</v>
      </c>
      <c r="E788" s="1" t="s">
        <v>200</v>
      </c>
      <c r="F788" s="1" t="s">
        <v>36</v>
      </c>
      <c r="G788" s="1" t="s">
        <v>32</v>
      </c>
      <c r="H788" s="2">
        <v>45196</v>
      </c>
      <c r="I788" s="1" t="s">
        <v>1034</v>
      </c>
      <c r="J788" s="1" t="s">
        <v>1035</v>
      </c>
      <c r="K788" s="1" t="s">
        <v>902</v>
      </c>
      <c r="L788" s="1">
        <v>11938.33</v>
      </c>
      <c r="M788" s="1">
        <v>1</v>
      </c>
      <c r="N788" s="1">
        <v>0.05</v>
      </c>
      <c r="O788" s="1">
        <v>11341.41</v>
      </c>
      <c r="P788" s="1">
        <v>2695.64</v>
      </c>
    </row>
    <row r="789" spans="1:16" x14ac:dyDescent="0.3">
      <c r="A789" s="1" t="s">
        <v>618</v>
      </c>
      <c r="B789" s="2">
        <v>46012</v>
      </c>
      <c r="C789" s="2" t="str">
        <f>TEXT(E_Commerce_data[[#This Row],[order_date]],"MMM")</f>
        <v>Dec</v>
      </c>
      <c r="D789" s="1" t="s">
        <v>171</v>
      </c>
      <c r="E789" s="1" t="s">
        <v>172</v>
      </c>
      <c r="F789" s="1" t="s">
        <v>47</v>
      </c>
      <c r="G789" s="1" t="s">
        <v>48</v>
      </c>
      <c r="H789" s="2">
        <v>45093</v>
      </c>
      <c r="I789" s="1" t="s">
        <v>558</v>
      </c>
      <c r="J789" s="1" t="s">
        <v>559</v>
      </c>
      <c r="K789" s="1" t="s">
        <v>560</v>
      </c>
      <c r="L789" s="1">
        <v>11049.86</v>
      </c>
      <c r="M789" s="1">
        <v>2</v>
      </c>
      <c r="N789" s="1">
        <v>0.05</v>
      </c>
      <c r="O789" s="1">
        <v>20994.73</v>
      </c>
      <c r="P789" s="1">
        <v>5178.26</v>
      </c>
    </row>
    <row r="790" spans="1:16" x14ac:dyDescent="0.3">
      <c r="A790" s="1" t="s">
        <v>1239</v>
      </c>
      <c r="B790" s="2">
        <v>45371</v>
      </c>
      <c r="C790" s="2" t="str">
        <f>TEXT(E_Commerce_data[[#This Row],[order_date]],"MMM")</f>
        <v>Mar</v>
      </c>
      <c r="D790" s="1" t="s">
        <v>344</v>
      </c>
      <c r="E790" s="1" t="s">
        <v>345</v>
      </c>
      <c r="F790" s="1" t="s">
        <v>93</v>
      </c>
      <c r="G790" s="1" t="s">
        <v>27</v>
      </c>
      <c r="H790" s="2">
        <v>45356</v>
      </c>
      <c r="I790" s="1" t="s">
        <v>1162</v>
      </c>
      <c r="J790" s="1" t="s">
        <v>1163</v>
      </c>
      <c r="K790" s="1" t="s">
        <v>902</v>
      </c>
      <c r="L790" s="1">
        <v>10751.13</v>
      </c>
      <c r="M790" s="1">
        <v>1</v>
      </c>
      <c r="N790" s="1">
        <v>0</v>
      </c>
      <c r="O790" s="1">
        <v>10751.13</v>
      </c>
      <c r="P790" s="1">
        <v>1225.9100000000001</v>
      </c>
    </row>
    <row r="791" spans="1:16" x14ac:dyDescent="0.3">
      <c r="A791" s="1" t="s">
        <v>401</v>
      </c>
      <c r="B791" s="2">
        <v>45988</v>
      </c>
      <c r="C791" s="2" t="str">
        <f>TEXT(E_Commerce_data[[#This Row],[order_date]],"MMM")</f>
        <v>Nov</v>
      </c>
      <c r="D791" s="1" t="s">
        <v>237</v>
      </c>
      <c r="E791" s="1" t="s">
        <v>238</v>
      </c>
      <c r="F791" s="1" t="s">
        <v>93</v>
      </c>
      <c r="G791" s="1" t="s">
        <v>27</v>
      </c>
      <c r="H791" s="2">
        <v>45151</v>
      </c>
      <c r="I791" s="1" t="s">
        <v>315</v>
      </c>
      <c r="J791" s="1" t="s">
        <v>316</v>
      </c>
      <c r="K791" s="1" t="s">
        <v>22</v>
      </c>
      <c r="L791" s="1">
        <v>16937.37</v>
      </c>
      <c r="M791" s="1">
        <v>2</v>
      </c>
      <c r="N791" s="1">
        <v>0.1</v>
      </c>
      <c r="O791" s="1">
        <v>30487.27</v>
      </c>
      <c r="P791" s="1">
        <v>3593.15</v>
      </c>
    </row>
    <row r="792" spans="1:16" x14ac:dyDescent="0.3">
      <c r="A792" s="1" t="s">
        <v>469</v>
      </c>
      <c r="B792" s="2">
        <v>45643</v>
      </c>
      <c r="C792" s="2" t="str">
        <f>TEXT(E_Commerce_data[[#This Row],[order_date]],"MMM")</f>
        <v>Dec</v>
      </c>
      <c r="D792" s="1" t="s">
        <v>255</v>
      </c>
      <c r="E792" s="1" t="s">
        <v>256</v>
      </c>
      <c r="F792" s="1" t="s">
        <v>26</v>
      </c>
      <c r="G792" s="1" t="s">
        <v>27</v>
      </c>
      <c r="H792" s="2">
        <v>45372</v>
      </c>
      <c r="I792" s="1" t="s">
        <v>420</v>
      </c>
      <c r="J792" s="1" t="s">
        <v>421</v>
      </c>
      <c r="K792" s="1" t="s">
        <v>22</v>
      </c>
      <c r="L792" s="1">
        <v>29436.02</v>
      </c>
      <c r="M792" s="1">
        <v>4</v>
      </c>
      <c r="N792" s="1">
        <v>0</v>
      </c>
      <c r="O792" s="1">
        <v>117744.08</v>
      </c>
      <c r="P792" s="1">
        <v>6172</v>
      </c>
    </row>
    <row r="793" spans="1:16" x14ac:dyDescent="0.3">
      <c r="A793" s="1" t="s">
        <v>949</v>
      </c>
      <c r="B793" s="2">
        <v>45427</v>
      </c>
      <c r="C793" s="2" t="str">
        <f>TEXT(E_Commerce_data[[#This Row],[order_date]],"MMM")</f>
        <v>May</v>
      </c>
      <c r="D793" s="1" t="s">
        <v>106</v>
      </c>
      <c r="E793" s="1" t="s">
        <v>107</v>
      </c>
      <c r="F793" s="1" t="s">
        <v>47</v>
      </c>
      <c r="G793" s="1" t="s">
        <v>48</v>
      </c>
      <c r="H793" s="2">
        <v>45375</v>
      </c>
      <c r="I793" s="1" t="s">
        <v>900</v>
      </c>
      <c r="J793" s="1" t="s">
        <v>901</v>
      </c>
      <c r="K793" s="1" t="s">
        <v>902</v>
      </c>
      <c r="L793" s="1">
        <v>42988.79</v>
      </c>
      <c r="M793" s="1">
        <v>1</v>
      </c>
      <c r="N793" s="1">
        <v>0.2</v>
      </c>
      <c r="O793" s="1">
        <v>34391.03</v>
      </c>
      <c r="P793" s="1">
        <v>6076.69</v>
      </c>
    </row>
    <row r="794" spans="1:16" x14ac:dyDescent="0.3">
      <c r="A794" s="1" t="s">
        <v>1089</v>
      </c>
      <c r="B794" s="2">
        <v>45383</v>
      </c>
      <c r="C794" s="2" t="str">
        <f>TEXT(E_Commerce_data[[#This Row],[order_date]],"MMM")</f>
        <v>Apr</v>
      </c>
      <c r="D794" s="1" t="s">
        <v>297</v>
      </c>
      <c r="E794" s="1" t="s">
        <v>298</v>
      </c>
      <c r="F794" s="1" t="s">
        <v>47</v>
      </c>
      <c r="G794" s="1" t="s">
        <v>48</v>
      </c>
      <c r="H794" s="2">
        <v>45092</v>
      </c>
      <c r="I794" s="1" t="s">
        <v>1034</v>
      </c>
      <c r="J794" s="1" t="s">
        <v>1035</v>
      </c>
      <c r="K794" s="1" t="s">
        <v>902</v>
      </c>
      <c r="L794" s="1">
        <v>11938.33</v>
      </c>
      <c r="M794" s="1">
        <v>4</v>
      </c>
      <c r="N794" s="1">
        <v>0</v>
      </c>
      <c r="O794" s="1">
        <v>47753.32</v>
      </c>
      <c r="P794" s="1">
        <v>5667.56</v>
      </c>
    </row>
    <row r="795" spans="1:16" x14ac:dyDescent="0.3">
      <c r="A795" s="1" t="s">
        <v>470</v>
      </c>
      <c r="B795" s="2">
        <v>45598</v>
      </c>
      <c r="C795" s="2" t="str">
        <f>TEXT(E_Commerce_data[[#This Row],[order_date]],"MMM")</f>
        <v>Nov</v>
      </c>
      <c r="D795" s="1" t="s">
        <v>269</v>
      </c>
      <c r="E795" s="1" t="s">
        <v>270</v>
      </c>
      <c r="F795" s="1" t="s">
        <v>18</v>
      </c>
      <c r="G795" s="1" t="s">
        <v>19</v>
      </c>
      <c r="H795" s="2">
        <v>45271</v>
      </c>
      <c r="I795" s="1" t="s">
        <v>420</v>
      </c>
      <c r="J795" s="1" t="s">
        <v>421</v>
      </c>
      <c r="K795" s="1" t="s">
        <v>22</v>
      </c>
      <c r="L795" s="1">
        <v>29436.02</v>
      </c>
      <c r="M795" s="1">
        <v>1</v>
      </c>
      <c r="N795" s="1">
        <v>0</v>
      </c>
      <c r="O795" s="1">
        <v>29436.02</v>
      </c>
      <c r="P795" s="1">
        <v>4238.95</v>
      </c>
    </row>
    <row r="796" spans="1:16" x14ac:dyDescent="0.3">
      <c r="A796" s="1" t="s">
        <v>177</v>
      </c>
      <c r="B796" s="2">
        <v>45428</v>
      </c>
      <c r="C796" s="2" t="str">
        <f>TEXT(E_Commerce_data[[#This Row],[order_date]],"MMM")</f>
        <v>May</v>
      </c>
      <c r="D796" s="1" t="s">
        <v>78</v>
      </c>
      <c r="E796" s="1" t="s">
        <v>79</v>
      </c>
      <c r="F796" s="1" t="s">
        <v>76</v>
      </c>
      <c r="G796" s="1" t="s">
        <v>32</v>
      </c>
      <c r="H796" s="2">
        <v>45365</v>
      </c>
      <c r="I796" s="1" t="s">
        <v>20</v>
      </c>
      <c r="J796" s="1" t="s">
        <v>21</v>
      </c>
      <c r="K796" s="1" t="s">
        <v>22</v>
      </c>
      <c r="L796" s="1">
        <v>6094.16</v>
      </c>
      <c r="M796" s="1">
        <v>2</v>
      </c>
      <c r="N796" s="1">
        <v>0.05</v>
      </c>
      <c r="O796" s="1">
        <v>11578.9</v>
      </c>
      <c r="P796" s="1">
        <v>3265.69</v>
      </c>
    </row>
    <row r="797" spans="1:16" x14ac:dyDescent="0.3">
      <c r="A797" s="1" t="s">
        <v>307</v>
      </c>
      <c r="B797" s="2">
        <v>45300</v>
      </c>
      <c r="C797" s="2" t="str">
        <f>TEXT(E_Commerce_data[[#This Row],[order_date]],"MMM")</f>
        <v>Jan</v>
      </c>
      <c r="D797" s="1" t="s">
        <v>252</v>
      </c>
      <c r="E797" s="1" t="s">
        <v>253</v>
      </c>
      <c r="F797" s="1" t="s">
        <v>72</v>
      </c>
      <c r="G797" s="1" t="s">
        <v>48</v>
      </c>
      <c r="H797" s="2">
        <v>44973</v>
      </c>
      <c r="I797" s="1" t="s">
        <v>215</v>
      </c>
      <c r="J797" s="1" t="s">
        <v>216</v>
      </c>
      <c r="K797" s="1" t="s">
        <v>22</v>
      </c>
      <c r="L797" s="1">
        <v>11273.63</v>
      </c>
      <c r="M797" s="1">
        <v>2</v>
      </c>
      <c r="N797" s="1">
        <v>0</v>
      </c>
      <c r="O797" s="1">
        <v>22547.26</v>
      </c>
      <c r="P797" s="1">
        <v>4715.82</v>
      </c>
    </row>
    <row r="798" spans="1:16" x14ac:dyDescent="0.3">
      <c r="A798" s="1" t="s">
        <v>1019</v>
      </c>
      <c r="B798" s="2">
        <v>45651</v>
      </c>
      <c r="C798" s="2" t="str">
        <f>TEXT(E_Commerce_data[[#This Row],[order_date]],"MMM")</f>
        <v>Dec</v>
      </c>
      <c r="D798" s="1" t="s">
        <v>24</v>
      </c>
      <c r="E798" s="1" t="s">
        <v>25</v>
      </c>
      <c r="F798" s="1" t="s">
        <v>26</v>
      </c>
      <c r="G798" s="1" t="s">
        <v>27</v>
      </c>
      <c r="H798" s="2">
        <v>45069</v>
      </c>
      <c r="I798" s="1" t="s">
        <v>964</v>
      </c>
      <c r="J798" s="1" t="s">
        <v>965</v>
      </c>
      <c r="K798" s="1" t="s">
        <v>902</v>
      </c>
      <c r="L798" s="1">
        <v>3589.32</v>
      </c>
      <c r="M798" s="1">
        <v>5</v>
      </c>
      <c r="N798" s="1">
        <v>0.15</v>
      </c>
      <c r="O798" s="1">
        <v>15254.61</v>
      </c>
      <c r="P798" s="1">
        <v>1513.79</v>
      </c>
    </row>
    <row r="799" spans="1:16" x14ac:dyDescent="0.3">
      <c r="A799" s="1" t="s">
        <v>744</v>
      </c>
      <c r="B799" s="2">
        <v>45713</v>
      </c>
      <c r="C799" s="2" t="str">
        <f>TEXT(E_Commerce_data[[#This Row],[order_date]],"MMM")</f>
        <v>Feb</v>
      </c>
      <c r="D799" s="1" t="s">
        <v>153</v>
      </c>
      <c r="E799" s="1" t="s">
        <v>154</v>
      </c>
      <c r="F799" s="1" t="s">
        <v>43</v>
      </c>
      <c r="G799" s="1" t="s">
        <v>32</v>
      </c>
      <c r="H799" s="2">
        <v>45073</v>
      </c>
      <c r="I799" s="1" t="s">
        <v>706</v>
      </c>
      <c r="J799" s="1" t="s">
        <v>707</v>
      </c>
      <c r="K799" s="1" t="s">
        <v>560</v>
      </c>
      <c r="L799" s="1">
        <v>31573.59</v>
      </c>
      <c r="M799" s="1">
        <v>2</v>
      </c>
      <c r="N799" s="1">
        <v>0.15</v>
      </c>
      <c r="O799" s="1">
        <v>53675.1</v>
      </c>
      <c r="P799" s="1">
        <v>14732.78</v>
      </c>
    </row>
    <row r="800" spans="1:16" x14ac:dyDescent="0.3">
      <c r="A800" s="1" t="s">
        <v>471</v>
      </c>
      <c r="B800" s="2">
        <v>45514</v>
      </c>
      <c r="C800" s="2" t="str">
        <f>TEXT(E_Commerce_data[[#This Row],[order_date]],"MMM")</f>
        <v>Aug</v>
      </c>
      <c r="D800" s="1" t="s">
        <v>248</v>
      </c>
      <c r="E800" s="1" t="s">
        <v>249</v>
      </c>
      <c r="F800" s="1" t="s">
        <v>72</v>
      </c>
      <c r="G800" s="1" t="s">
        <v>48</v>
      </c>
      <c r="H800" s="2">
        <v>45619</v>
      </c>
      <c r="I800" s="1" t="s">
        <v>420</v>
      </c>
      <c r="J800" s="1" t="s">
        <v>421</v>
      </c>
      <c r="K800" s="1" t="s">
        <v>22</v>
      </c>
      <c r="L800" s="1">
        <v>29436.02</v>
      </c>
      <c r="M800" s="1">
        <v>5</v>
      </c>
      <c r="N800" s="1">
        <v>0.15</v>
      </c>
      <c r="O800" s="1">
        <v>125103.08</v>
      </c>
      <c r="P800" s="1">
        <v>22858.23</v>
      </c>
    </row>
    <row r="801" spans="1:16" x14ac:dyDescent="0.3">
      <c r="A801" s="1" t="s">
        <v>472</v>
      </c>
      <c r="B801" s="2">
        <v>45418</v>
      </c>
      <c r="C801" s="2" t="str">
        <f>TEXT(E_Commerce_data[[#This Row],[order_date]],"MMM")</f>
        <v>May</v>
      </c>
      <c r="D801" s="1" t="s">
        <v>165</v>
      </c>
      <c r="E801" s="1" t="s">
        <v>166</v>
      </c>
      <c r="F801" s="1" t="s">
        <v>36</v>
      </c>
      <c r="G801" s="1" t="s">
        <v>32</v>
      </c>
      <c r="H801" s="2">
        <v>45039</v>
      </c>
      <c r="I801" s="1" t="s">
        <v>420</v>
      </c>
      <c r="J801" s="1" t="s">
        <v>421</v>
      </c>
      <c r="K801" s="1" t="s">
        <v>22</v>
      </c>
      <c r="L801" s="1">
        <v>29436.02</v>
      </c>
      <c r="M801" s="1">
        <v>1</v>
      </c>
      <c r="N801" s="1">
        <v>0</v>
      </c>
      <c r="O801" s="1">
        <v>29436.02</v>
      </c>
      <c r="P801" s="1">
        <v>2708.23</v>
      </c>
    </row>
    <row r="802" spans="1:16" x14ac:dyDescent="0.3">
      <c r="A802" s="1" t="s">
        <v>808</v>
      </c>
      <c r="B802" s="2">
        <v>45731</v>
      </c>
      <c r="C802" s="2" t="str">
        <f>TEXT(E_Commerce_data[[#This Row],[order_date]],"MMM")</f>
        <v>Mar</v>
      </c>
      <c r="D802" s="1" t="s">
        <v>139</v>
      </c>
      <c r="E802" s="1" t="s">
        <v>140</v>
      </c>
      <c r="F802" s="1" t="s">
        <v>47</v>
      </c>
      <c r="G802" s="1" t="s">
        <v>48</v>
      </c>
      <c r="H802" s="2">
        <v>44984</v>
      </c>
      <c r="I802" s="1" t="s">
        <v>763</v>
      </c>
      <c r="J802" s="1" t="s">
        <v>764</v>
      </c>
      <c r="K802" s="1" t="s">
        <v>560</v>
      </c>
      <c r="L802" s="1">
        <v>11485.64</v>
      </c>
      <c r="M802" s="1">
        <v>5</v>
      </c>
      <c r="N802" s="1">
        <v>0.15</v>
      </c>
      <c r="O802" s="1">
        <v>48813.97</v>
      </c>
      <c r="P802" s="1">
        <v>8064.54</v>
      </c>
    </row>
    <row r="803" spans="1:16" x14ac:dyDescent="0.3">
      <c r="A803" s="1" t="s">
        <v>1240</v>
      </c>
      <c r="B803" s="2">
        <v>45575</v>
      </c>
      <c r="C803" s="2" t="str">
        <f>TEXT(E_Commerce_data[[#This Row],[order_date]],"MMM")</f>
        <v>Oct</v>
      </c>
      <c r="D803" s="1" t="s">
        <v>171</v>
      </c>
      <c r="E803" s="1" t="s">
        <v>172</v>
      </c>
      <c r="F803" s="1" t="s">
        <v>47</v>
      </c>
      <c r="G803" s="1" t="s">
        <v>48</v>
      </c>
      <c r="H803" s="2">
        <v>45093</v>
      </c>
      <c r="I803" s="1" t="s">
        <v>1162</v>
      </c>
      <c r="J803" s="1" t="s">
        <v>1163</v>
      </c>
      <c r="K803" s="1" t="s">
        <v>902</v>
      </c>
      <c r="L803" s="1">
        <v>10751.13</v>
      </c>
      <c r="M803" s="1">
        <v>3</v>
      </c>
      <c r="N803" s="1">
        <v>0.2</v>
      </c>
      <c r="O803" s="1">
        <v>25802.71</v>
      </c>
      <c r="P803" s="1">
        <v>2372.5300000000002</v>
      </c>
    </row>
    <row r="804" spans="1:16" x14ac:dyDescent="0.3">
      <c r="A804" s="1" t="s">
        <v>544</v>
      </c>
      <c r="B804" s="2">
        <v>45906</v>
      </c>
      <c r="C804" s="2" t="str">
        <f>TEXT(E_Commerce_data[[#This Row],[order_date]],"MMM")</f>
        <v>Sep</v>
      </c>
      <c r="D804" s="1" t="s">
        <v>109</v>
      </c>
      <c r="E804" s="1" t="s">
        <v>110</v>
      </c>
      <c r="F804" s="1" t="s">
        <v>31</v>
      </c>
      <c r="G804" s="1" t="s">
        <v>32</v>
      </c>
      <c r="H804" s="2">
        <v>45026</v>
      </c>
      <c r="I804" s="1" t="s">
        <v>489</v>
      </c>
      <c r="J804" s="1" t="s">
        <v>490</v>
      </c>
      <c r="K804" s="1" t="s">
        <v>22</v>
      </c>
      <c r="L804" s="1">
        <v>11544.23</v>
      </c>
      <c r="M804" s="1">
        <v>1</v>
      </c>
      <c r="N804" s="1">
        <v>0</v>
      </c>
      <c r="O804" s="1">
        <v>11544.23</v>
      </c>
      <c r="P804" s="1">
        <v>2493.77</v>
      </c>
    </row>
    <row r="805" spans="1:16" x14ac:dyDescent="0.3">
      <c r="A805" s="1" t="s">
        <v>885</v>
      </c>
      <c r="B805" s="2">
        <v>45999</v>
      </c>
      <c r="C805" s="2" t="str">
        <f>TEXT(E_Commerce_data[[#This Row],[order_date]],"MMM")</f>
        <v>Dec</v>
      </c>
      <c r="D805" s="1" t="s">
        <v>212</v>
      </c>
      <c r="E805" s="1" t="s">
        <v>213</v>
      </c>
      <c r="F805" s="1" t="s">
        <v>18</v>
      </c>
      <c r="G805" s="1" t="s">
        <v>19</v>
      </c>
      <c r="H805" s="2">
        <v>45613</v>
      </c>
      <c r="I805" s="1" t="s">
        <v>822</v>
      </c>
      <c r="J805" s="1" t="s">
        <v>823</v>
      </c>
      <c r="K805" s="1" t="s">
        <v>560</v>
      </c>
      <c r="L805" s="1">
        <v>45275.73</v>
      </c>
      <c r="M805" s="1">
        <v>5</v>
      </c>
      <c r="N805" s="1">
        <v>0</v>
      </c>
      <c r="O805" s="1">
        <v>226378.65</v>
      </c>
      <c r="P805" s="1">
        <v>64221.56</v>
      </c>
    </row>
    <row r="806" spans="1:16" x14ac:dyDescent="0.3">
      <c r="A806" s="1" t="s">
        <v>402</v>
      </c>
      <c r="B806" s="2">
        <v>45600</v>
      </c>
      <c r="C806" s="2" t="str">
        <f>TEXT(E_Commerce_data[[#This Row],[order_date]],"MMM")</f>
        <v>Nov</v>
      </c>
      <c r="D806" s="1" t="s">
        <v>162</v>
      </c>
      <c r="E806" s="1" t="s">
        <v>163</v>
      </c>
      <c r="F806" s="1" t="s">
        <v>93</v>
      </c>
      <c r="G806" s="1" t="s">
        <v>27</v>
      </c>
      <c r="H806" s="2">
        <v>45200</v>
      </c>
      <c r="I806" s="1" t="s">
        <v>315</v>
      </c>
      <c r="J806" s="1" t="s">
        <v>316</v>
      </c>
      <c r="K806" s="1" t="s">
        <v>22</v>
      </c>
      <c r="L806" s="1">
        <v>16937.37</v>
      </c>
      <c r="M806" s="1">
        <v>1</v>
      </c>
      <c r="N806" s="1">
        <v>0.2</v>
      </c>
      <c r="O806" s="1">
        <v>13549.9</v>
      </c>
      <c r="P806" s="1">
        <v>4120.8100000000004</v>
      </c>
    </row>
    <row r="807" spans="1:16" x14ac:dyDescent="0.3">
      <c r="A807" s="1" t="s">
        <v>1090</v>
      </c>
      <c r="B807" s="2">
        <v>45485</v>
      </c>
      <c r="C807" s="2" t="str">
        <f>TEXT(E_Commerce_data[[#This Row],[order_date]],"MMM")</f>
        <v>Jul</v>
      </c>
      <c r="D807" s="1" t="s">
        <v>82</v>
      </c>
      <c r="E807" s="1" t="s">
        <v>83</v>
      </c>
      <c r="F807" s="1" t="s">
        <v>47</v>
      </c>
      <c r="G807" s="1" t="s">
        <v>48</v>
      </c>
      <c r="H807" s="2">
        <v>45279</v>
      </c>
      <c r="I807" s="1" t="s">
        <v>1034</v>
      </c>
      <c r="J807" s="1" t="s">
        <v>1035</v>
      </c>
      <c r="K807" s="1" t="s">
        <v>902</v>
      </c>
      <c r="L807" s="1">
        <v>11938.33</v>
      </c>
      <c r="M807" s="1">
        <v>2</v>
      </c>
      <c r="N807" s="1">
        <v>0.1</v>
      </c>
      <c r="O807" s="1">
        <v>21488.99</v>
      </c>
      <c r="P807" s="1">
        <v>4987.12</v>
      </c>
    </row>
    <row r="808" spans="1:16" x14ac:dyDescent="0.3">
      <c r="A808" s="1" t="s">
        <v>403</v>
      </c>
      <c r="B808" s="2">
        <v>45537</v>
      </c>
      <c r="C808" s="2" t="str">
        <f>TEXT(E_Commerce_data[[#This Row],[order_date]],"MMM")</f>
        <v>Sep</v>
      </c>
      <c r="D808" s="1" t="s">
        <v>248</v>
      </c>
      <c r="E808" s="1" t="s">
        <v>249</v>
      </c>
      <c r="F808" s="1" t="s">
        <v>72</v>
      </c>
      <c r="G808" s="1" t="s">
        <v>48</v>
      </c>
      <c r="H808" s="2">
        <v>45619</v>
      </c>
      <c r="I808" s="1" t="s">
        <v>315</v>
      </c>
      <c r="J808" s="1" t="s">
        <v>316</v>
      </c>
      <c r="K808" s="1" t="s">
        <v>22</v>
      </c>
      <c r="L808" s="1">
        <v>16937.37</v>
      </c>
      <c r="M808" s="1">
        <v>4</v>
      </c>
      <c r="N808" s="1">
        <v>0</v>
      </c>
      <c r="O808" s="1">
        <v>67749.48</v>
      </c>
      <c r="P808" s="1">
        <v>16520.77</v>
      </c>
    </row>
    <row r="809" spans="1:16" x14ac:dyDescent="0.3">
      <c r="A809" s="1" t="s">
        <v>745</v>
      </c>
      <c r="B809" s="2">
        <v>45803</v>
      </c>
      <c r="C809" s="2" t="str">
        <f>TEXT(E_Commerce_data[[#This Row],[order_date]],"MMM")</f>
        <v>May</v>
      </c>
      <c r="D809" s="1" t="s">
        <v>444</v>
      </c>
      <c r="E809" s="1" t="s">
        <v>445</v>
      </c>
      <c r="F809" s="1" t="s">
        <v>76</v>
      </c>
      <c r="G809" s="1" t="s">
        <v>32</v>
      </c>
      <c r="H809" s="2">
        <v>45123</v>
      </c>
      <c r="I809" s="1" t="s">
        <v>706</v>
      </c>
      <c r="J809" s="1" t="s">
        <v>707</v>
      </c>
      <c r="K809" s="1" t="s">
        <v>560</v>
      </c>
      <c r="L809" s="1">
        <v>31573.59</v>
      </c>
      <c r="M809" s="1">
        <v>4</v>
      </c>
      <c r="N809" s="1">
        <v>0.05</v>
      </c>
      <c r="O809" s="1">
        <v>119979.64</v>
      </c>
      <c r="P809" s="1">
        <v>10057.07</v>
      </c>
    </row>
    <row r="810" spans="1:16" x14ac:dyDescent="0.3">
      <c r="A810" s="1" t="s">
        <v>693</v>
      </c>
      <c r="B810" s="2">
        <v>45304</v>
      </c>
      <c r="C810" s="2" t="str">
        <f>TEXT(E_Commerce_data[[#This Row],[order_date]],"MMM")</f>
        <v>Jan</v>
      </c>
      <c r="D810" s="1" t="s">
        <v>63</v>
      </c>
      <c r="E810" s="1" t="s">
        <v>64</v>
      </c>
      <c r="F810" s="1" t="s">
        <v>18</v>
      </c>
      <c r="G810" s="1" t="s">
        <v>19</v>
      </c>
      <c r="H810" s="2">
        <v>45501</v>
      </c>
      <c r="I810" s="1" t="s">
        <v>633</v>
      </c>
      <c r="J810" s="1" t="s">
        <v>634</v>
      </c>
      <c r="K810" s="1" t="s">
        <v>560</v>
      </c>
      <c r="L810" s="1">
        <v>3596.1</v>
      </c>
      <c r="M810" s="1">
        <v>5</v>
      </c>
      <c r="N810" s="1">
        <v>0</v>
      </c>
      <c r="O810" s="1">
        <v>17980.5</v>
      </c>
      <c r="P810" s="1">
        <v>3748.68</v>
      </c>
    </row>
    <row r="811" spans="1:16" x14ac:dyDescent="0.3">
      <c r="A811" s="1" t="s">
        <v>473</v>
      </c>
      <c r="B811" s="2">
        <v>45874</v>
      </c>
      <c r="C811" s="2" t="str">
        <f>TEXT(E_Commerce_data[[#This Row],[order_date]],"MMM")</f>
        <v>Aug</v>
      </c>
      <c r="D811" s="1" t="s">
        <v>195</v>
      </c>
      <c r="E811" s="1" t="s">
        <v>196</v>
      </c>
      <c r="F811" s="1" t="s">
        <v>72</v>
      </c>
      <c r="G811" s="1" t="s">
        <v>48</v>
      </c>
      <c r="H811" s="2">
        <v>45165</v>
      </c>
      <c r="I811" s="1" t="s">
        <v>420</v>
      </c>
      <c r="J811" s="1" t="s">
        <v>421</v>
      </c>
      <c r="K811" s="1" t="s">
        <v>22</v>
      </c>
      <c r="L811" s="1">
        <v>29436.02</v>
      </c>
      <c r="M811" s="1">
        <v>3</v>
      </c>
      <c r="N811" s="1">
        <v>0</v>
      </c>
      <c r="O811" s="1">
        <v>88308.06</v>
      </c>
      <c r="P811" s="1">
        <v>7911.95</v>
      </c>
    </row>
    <row r="812" spans="1:16" x14ac:dyDescent="0.3">
      <c r="A812" s="1" t="s">
        <v>404</v>
      </c>
      <c r="B812" s="2">
        <v>45468</v>
      </c>
      <c r="C812" s="2" t="str">
        <f>TEXT(E_Commerce_data[[#This Row],[order_date]],"MMM")</f>
        <v>Jun</v>
      </c>
      <c r="D812" s="1" t="s">
        <v>99</v>
      </c>
      <c r="E812" s="1" t="s">
        <v>100</v>
      </c>
      <c r="F812" s="1" t="s">
        <v>43</v>
      </c>
      <c r="G812" s="1" t="s">
        <v>32</v>
      </c>
      <c r="H812" s="2">
        <v>45468</v>
      </c>
      <c r="I812" s="1" t="s">
        <v>315</v>
      </c>
      <c r="J812" s="1" t="s">
        <v>316</v>
      </c>
      <c r="K812" s="1" t="s">
        <v>22</v>
      </c>
      <c r="L812" s="1">
        <v>16937.37</v>
      </c>
      <c r="M812" s="1">
        <v>4</v>
      </c>
      <c r="N812" s="1">
        <v>0</v>
      </c>
      <c r="O812" s="1">
        <v>67749.48</v>
      </c>
      <c r="P812" s="1">
        <v>14492.08</v>
      </c>
    </row>
    <row r="813" spans="1:16" x14ac:dyDescent="0.3">
      <c r="A813" s="1" t="s">
        <v>746</v>
      </c>
      <c r="B813" s="2">
        <v>45893</v>
      </c>
      <c r="C813" s="2" t="str">
        <f>TEXT(E_Commerce_data[[#This Row],[order_date]],"MMM")</f>
        <v>Aug</v>
      </c>
      <c r="D813" s="1" t="s">
        <v>34</v>
      </c>
      <c r="E813" s="1" t="s">
        <v>35</v>
      </c>
      <c r="F813" s="1" t="s">
        <v>36</v>
      </c>
      <c r="G813" s="1" t="s">
        <v>32</v>
      </c>
      <c r="H813" s="2">
        <v>45041</v>
      </c>
      <c r="I813" s="1" t="s">
        <v>706</v>
      </c>
      <c r="J813" s="1" t="s">
        <v>707</v>
      </c>
      <c r="K813" s="1" t="s">
        <v>560</v>
      </c>
      <c r="L813" s="1">
        <v>31573.59</v>
      </c>
      <c r="M813" s="1">
        <v>4</v>
      </c>
      <c r="N813" s="1">
        <v>0.2</v>
      </c>
      <c r="O813" s="1">
        <v>101035.49</v>
      </c>
      <c r="P813" s="1">
        <v>7264.2</v>
      </c>
    </row>
    <row r="814" spans="1:16" x14ac:dyDescent="0.3">
      <c r="A814" s="1" t="s">
        <v>619</v>
      </c>
      <c r="B814" s="2">
        <v>45332</v>
      </c>
      <c r="C814" s="2" t="str">
        <f>TEXT(E_Commerce_data[[#This Row],[order_date]],"MMM")</f>
        <v>Feb</v>
      </c>
      <c r="D814" s="1" t="s">
        <v>564</v>
      </c>
      <c r="E814" s="1" t="s">
        <v>565</v>
      </c>
      <c r="F814" s="1" t="s">
        <v>55</v>
      </c>
      <c r="G814" s="1" t="s">
        <v>27</v>
      </c>
      <c r="H814" s="2">
        <v>45569</v>
      </c>
      <c r="I814" s="1" t="s">
        <v>558</v>
      </c>
      <c r="J814" s="1" t="s">
        <v>559</v>
      </c>
      <c r="K814" s="1" t="s">
        <v>560</v>
      </c>
      <c r="L814" s="1">
        <v>11049.86</v>
      </c>
      <c r="M814" s="1">
        <v>1</v>
      </c>
      <c r="N814" s="1">
        <v>0</v>
      </c>
      <c r="O814" s="1">
        <v>11049.86</v>
      </c>
      <c r="P814" s="1">
        <v>1421.63</v>
      </c>
    </row>
    <row r="815" spans="1:16" x14ac:dyDescent="0.3">
      <c r="A815" s="1" t="s">
        <v>1241</v>
      </c>
      <c r="B815" s="2">
        <v>45585</v>
      </c>
      <c r="C815" s="2" t="str">
        <f>TEXT(E_Commerce_data[[#This Row],[order_date]],"MMM")</f>
        <v>Oct</v>
      </c>
      <c r="D815" s="1" t="s">
        <v>212</v>
      </c>
      <c r="E815" s="1" t="s">
        <v>213</v>
      </c>
      <c r="F815" s="1" t="s">
        <v>18</v>
      </c>
      <c r="G815" s="1" t="s">
        <v>19</v>
      </c>
      <c r="H815" s="2">
        <v>45613</v>
      </c>
      <c r="I815" s="1" t="s">
        <v>1162</v>
      </c>
      <c r="J815" s="1" t="s">
        <v>1163</v>
      </c>
      <c r="K815" s="1" t="s">
        <v>902</v>
      </c>
      <c r="L815" s="1">
        <v>10751.13</v>
      </c>
      <c r="M815" s="1">
        <v>1</v>
      </c>
      <c r="N815" s="1">
        <v>0.2</v>
      </c>
      <c r="O815" s="1">
        <v>8600.9</v>
      </c>
      <c r="P815" s="1">
        <v>1456.93</v>
      </c>
    </row>
    <row r="816" spans="1:16" x14ac:dyDescent="0.3">
      <c r="A816" s="1" t="s">
        <v>178</v>
      </c>
      <c r="B816" s="2">
        <v>46010</v>
      </c>
      <c r="C816" s="2" t="str">
        <f>TEXT(E_Commerce_data[[#This Row],[order_date]],"MMM")</f>
        <v>Dec</v>
      </c>
      <c r="D816" s="1" t="s">
        <v>179</v>
      </c>
      <c r="E816" s="1" t="s">
        <v>180</v>
      </c>
      <c r="F816" s="1" t="s">
        <v>47</v>
      </c>
      <c r="G816" s="1" t="s">
        <v>48</v>
      </c>
      <c r="H816" s="2">
        <v>45337</v>
      </c>
      <c r="I816" s="1" t="s">
        <v>20</v>
      </c>
      <c r="J816" s="1" t="s">
        <v>21</v>
      </c>
      <c r="K816" s="1" t="s">
        <v>22</v>
      </c>
      <c r="L816" s="1">
        <v>6094.16</v>
      </c>
      <c r="M816" s="1">
        <v>5</v>
      </c>
      <c r="N816" s="1">
        <v>0.2</v>
      </c>
      <c r="O816" s="1">
        <v>24376.639999999999</v>
      </c>
      <c r="P816" s="1">
        <v>4256.88</v>
      </c>
    </row>
    <row r="817" spans="1:16" x14ac:dyDescent="0.3">
      <c r="A817" s="1" t="s">
        <v>474</v>
      </c>
      <c r="B817" s="2">
        <v>45842</v>
      </c>
      <c r="C817" s="2" t="str">
        <f>TEXT(E_Commerce_data[[#This Row],[order_date]],"MMM")</f>
        <v>Jul</v>
      </c>
      <c r="D817" s="1" t="s">
        <v>34</v>
      </c>
      <c r="E817" s="1" t="s">
        <v>35</v>
      </c>
      <c r="F817" s="1" t="s">
        <v>36</v>
      </c>
      <c r="G817" s="1" t="s">
        <v>32</v>
      </c>
      <c r="H817" s="2">
        <v>45041</v>
      </c>
      <c r="I817" s="1" t="s">
        <v>420</v>
      </c>
      <c r="J817" s="1" t="s">
        <v>421</v>
      </c>
      <c r="K817" s="1" t="s">
        <v>22</v>
      </c>
      <c r="L817" s="1">
        <v>29436.02</v>
      </c>
      <c r="M817" s="1">
        <v>4</v>
      </c>
      <c r="N817" s="1">
        <v>0</v>
      </c>
      <c r="O817" s="1">
        <v>117744.08</v>
      </c>
      <c r="P817" s="1">
        <v>28513.05</v>
      </c>
    </row>
    <row r="818" spans="1:16" x14ac:dyDescent="0.3">
      <c r="A818" s="1" t="s">
        <v>475</v>
      </c>
      <c r="B818" s="2">
        <v>45609</v>
      </c>
      <c r="C818" s="2" t="str">
        <f>TEXT(E_Commerce_data[[#This Row],[order_date]],"MMM")</f>
        <v>Nov</v>
      </c>
      <c r="D818" s="1" t="s">
        <v>206</v>
      </c>
      <c r="E818" s="1" t="s">
        <v>207</v>
      </c>
      <c r="F818" s="1" t="s">
        <v>72</v>
      </c>
      <c r="G818" s="1" t="s">
        <v>48</v>
      </c>
      <c r="H818" s="2">
        <v>45625</v>
      </c>
      <c r="I818" s="1" t="s">
        <v>420</v>
      </c>
      <c r="J818" s="1" t="s">
        <v>421</v>
      </c>
      <c r="K818" s="1" t="s">
        <v>22</v>
      </c>
      <c r="L818" s="1">
        <v>29436.02</v>
      </c>
      <c r="M818" s="1">
        <v>5</v>
      </c>
      <c r="N818" s="1">
        <v>0</v>
      </c>
      <c r="O818" s="1">
        <v>147180.1</v>
      </c>
      <c r="P818" s="1">
        <v>19610.32</v>
      </c>
    </row>
    <row r="819" spans="1:16" x14ac:dyDescent="0.3">
      <c r="A819" s="1" t="s">
        <v>747</v>
      </c>
      <c r="B819" s="2">
        <v>45451</v>
      </c>
      <c r="C819" s="2" t="str">
        <f>TEXT(E_Commerce_data[[#This Row],[order_date]],"MMM")</f>
        <v>Jun</v>
      </c>
      <c r="D819" s="1" t="s">
        <v>192</v>
      </c>
      <c r="E819" s="1" t="s">
        <v>193</v>
      </c>
      <c r="F819" s="1" t="s">
        <v>55</v>
      </c>
      <c r="G819" s="1" t="s">
        <v>27</v>
      </c>
      <c r="H819" s="2">
        <v>45448</v>
      </c>
      <c r="I819" s="1" t="s">
        <v>706</v>
      </c>
      <c r="J819" s="1" t="s">
        <v>707</v>
      </c>
      <c r="K819" s="1" t="s">
        <v>560</v>
      </c>
      <c r="L819" s="1">
        <v>31573.59</v>
      </c>
      <c r="M819" s="1">
        <v>1</v>
      </c>
      <c r="N819" s="1">
        <v>0.1</v>
      </c>
      <c r="O819" s="1">
        <v>28416.23</v>
      </c>
      <c r="P819" s="1">
        <v>9271.58</v>
      </c>
    </row>
    <row r="820" spans="1:16" x14ac:dyDescent="0.3">
      <c r="A820" s="1" t="s">
        <v>620</v>
      </c>
      <c r="B820" s="2">
        <v>45941</v>
      </c>
      <c r="C820" s="2" t="str">
        <f>TEXT(E_Commerce_data[[#This Row],[order_date]],"MMM")</f>
        <v>Oct</v>
      </c>
      <c r="D820" s="1" t="s">
        <v>60</v>
      </c>
      <c r="E820" s="1" t="s">
        <v>61</v>
      </c>
      <c r="F820" s="1" t="s">
        <v>18</v>
      </c>
      <c r="G820" s="1" t="s">
        <v>19</v>
      </c>
      <c r="H820" s="2">
        <v>45507</v>
      </c>
      <c r="I820" s="1" t="s">
        <v>558</v>
      </c>
      <c r="J820" s="1" t="s">
        <v>559</v>
      </c>
      <c r="K820" s="1" t="s">
        <v>560</v>
      </c>
      <c r="L820" s="1">
        <v>11049.86</v>
      </c>
      <c r="M820" s="1">
        <v>5</v>
      </c>
      <c r="N820" s="1">
        <v>0</v>
      </c>
      <c r="O820" s="1">
        <v>55249.3</v>
      </c>
      <c r="P820" s="1">
        <v>9238.76</v>
      </c>
    </row>
    <row r="821" spans="1:16" x14ac:dyDescent="0.3">
      <c r="A821" s="1" t="s">
        <v>621</v>
      </c>
      <c r="B821" s="2">
        <v>45536</v>
      </c>
      <c r="C821" s="2" t="str">
        <f>TEXT(E_Commerce_data[[#This Row],[order_date]],"MMM")</f>
        <v>Sep</v>
      </c>
      <c r="D821" s="1" t="s">
        <v>424</v>
      </c>
      <c r="E821" s="1" t="s">
        <v>425</v>
      </c>
      <c r="F821" s="1" t="s">
        <v>43</v>
      </c>
      <c r="G821" s="1" t="s">
        <v>32</v>
      </c>
      <c r="H821" s="2">
        <v>45489</v>
      </c>
      <c r="I821" s="1" t="s">
        <v>558</v>
      </c>
      <c r="J821" s="1" t="s">
        <v>559</v>
      </c>
      <c r="K821" s="1" t="s">
        <v>560</v>
      </c>
      <c r="L821" s="1">
        <v>11049.86</v>
      </c>
      <c r="M821" s="1">
        <v>1</v>
      </c>
      <c r="N821" s="1">
        <v>0</v>
      </c>
      <c r="O821" s="1">
        <v>11049.86</v>
      </c>
      <c r="P821" s="1">
        <v>2868.57</v>
      </c>
    </row>
    <row r="822" spans="1:16" x14ac:dyDescent="0.3">
      <c r="A822" s="1" t="s">
        <v>308</v>
      </c>
      <c r="B822" s="2">
        <v>45736</v>
      </c>
      <c r="C822" s="2" t="str">
        <f>TEXT(E_Commerce_data[[#This Row],[order_date]],"MMM")</f>
        <v>Mar</v>
      </c>
      <c r="D822" s="1" t="s">
        <v>112</v>
      </c>
      <c r="E822" s="1" t="s">
        <v>113</v>
      </c>
      <c r="F822" s="1" t="s">
        <v>55</v>
      </c>
      <c r="G822" s="1" t="s">
        <v>27</v>
      </c>
      <c r="H822" s="2">
        <v>45602</v>
      </c>
      <c r="I822" s="1" t="s">
        <v>215</v>
      </c>
      <c r="J822" s="1" t="s">
        <v>216</v>
      </c>
      <c r="K822" s="1" t="s">
        <v>22</v>
      </c>
      <c r="L822" s="1">
        <v>11273.63</v>
      </c>
      <c r="M822" s="1">
        <v>1</v>
      </c>
      <c r="N822" s="1">
        <v>0</v>
      </c>
      <c r="O822" s="1">
        <v>11273.63</v>
      </c>
      <c r="P822" s="1">
        <v>855.26</v>
      </c>
    </row>
    <row r="823" spans="1:16" x14ac:dyDescent="0.3">
      <c r="A823" s="1" t="s">
        <v>181</v>
      </c>
      <c r="B823" s="2">
        <v>45348</v>
      </c>
      <c r="C823" s="2" t="str">
        <f>TEXT(E_Commerce_data[[#This Row],[order_date]],"MMM")</f>
        <v>Feb</v>
      </c>
      <c r="D823" s="1" t="s">
        <v>139</v>
      </c>
      <c r="E823" s="1" t="s">
        <v>140</v>
      </c>
      <c r="F823" s="1" t="s">
        <v>47</v>
      </c>
      <c r="G823" s="1" t="s">
        <v>48</v>
      </c>
      <c r="H823" s="2">
        <v>44984</v>
      </c>
      <c r="I823" s="1" t="s">
        <v>20</v>
      </c>
      <c r="J823" s="1" t="s">
        <v>21</v>
      </c>
      <c r="K823" s="1" t="s">
        <v>22</v>
      </c>
      <c r="L823" s="1">
        <v>6094.16</v>
      </c>
      <c r="M823" s="1">
        <v>1</v>
      </c>
      <c r="N823" s="1">
        <v>0.05</v>
      </c>
      <c r="O823" s="1">
        <v>5789.45</v>
      </c>
      <c r="P823" s="1">
        <v>1352.93</v>
      </c>
    </row>
    <row r="824" spans="1:16" x14ac:dyDescent="0.3">
      <c r="A824" s="1" t="s">
        <v>182</v>
      </c>
      <c r="B824" s="2">
        <v>45471</v>
      </c>
      <c r="C824" s="2" t="str">
        <f>TEXT(E_Commerce_data[[#This Row],[order_date]],"MMM")</f>
        <v>Jun</v>
      </c>
      <c r="D824" s="1" t="s">
        <v>183</v>
      </c>
      <c r="E824" s="1" t="s">
        <v>184</v>
      </c>
      <c r="F824" s="1" t="s">
        <v>47</v>
      </c>
      <c r="G824" s="1" t="s">
        <v>48</v>
      </c>
      <c r="H824" s="2">
        <v>45151</v>
      </c>
      <c r="I824" s="1" t="s">
        <v>20</v>
      </c>
      <c r="J824" s="1" t="s">
        <v>21</v>
      </c>
      <c r="K824" s="1" t="s">
        <v>22</v>
      </c>
      <c r="L824" s="1">
        <v>6094.16</v>
      </c>
      <c r="M824" s="1">
        <v>3</v>
      </c>
      <c r="N824" s="1">
        <v>0.15</v>
      </c>
      <c r="O824" s="1">
        <v>15540.11</v>
      </c>
      <c r="P824" s="1">
        <v>4234.8100000000004</v>
      </c>
    </row>
    <row r="825" spans="1:16" x14ac:dyDescent="0.3">
      <c r="A825" s="1" t="s">
        <v>809</v>
      </c>
      <c r="B825" s="2">
        <v>46010</v>
      </c>
      <c r="C825" s="2" t="str">
        <f>TEXT(E_Commerce_data[[#This Row],[order_date]],"MMM")</f>
        <v>Dec</v>
      </c>
      <c r="D825" s="1" t="s">
        <v>243</v>
      </c>
      <c r="E825" s="1" t="s">
        <v>244</v>
      </c>
      <c r="F825" s="1" t="s">
        <v>18</v>
      </c>
      <c r="G825" s="1" t="s">
        <v>19</v>
      </c>
      <c r="H825" s="2">
        <v>45223</v>
      </c>
      <c r="I825" s="1" t="s">
        <v>763</v>
      </c>
      <c r="J825" s="1" t="s">
        <v>764</v>
      </c>
      <c r="K825" s="1" t="s">
        <v>560</v>
      </c>
      <c r="L825" s="1">
        <v>11485.64</v>
      </c>
      <c r="M825" s="1">
        <v>1</v>
      </c>
      <c r="N825" s="1">
        <v>0</v>
      </c>
      <c r="O825" s="1">
        <v>11485.64</v>
      </c>
      <c r="P825" s="1">
        <v>3013.49</v>
      </c>
    </row>
    <row r="826" spans="1:16" x14ac:dyDescent="0.3">
      <c r="A826" s="1" t="s">
        <v>1020</v>
      </c>
      <c r="B826" s="2">
        <v>45647</v>
      </c>
      <c r="C826" s="2" t="str">
        <f>TEXT(E_Commerce_data[[#This Row],[order_date]],"MMM")</f>
        <v>Dec</v>
      </c>
      <c r="D826" s="1" t="s">
        <v>495</v>
      </c>
      <c r="E826" s="1" t="s">
        <v>496</v>
      </c>
      <c r="F826" s="1" t="s">
        <v>36</v>
      </c>
      <c r="G826" s="1" t="s">
        <v>32</v>
      </c>
      <c r="H826" s="2">
        <v>45623</v>
      </c>
      <c r="I826" s="1" t="s">
        <v>964</v>
      </c>
      <c r="J826" s="1" t="s">
        <v>965</v>
      </c>
      <c r="K826" s="1" t="s">
        <v>902</v>
      </c>
      <c r="L826" s="1">
        <v>3589.32</v>
      </c>
      <c r="M826" s="1">
        <v>1</v>
      </c>
      <c r="N826" s="1">
        <v>0</v>
      </c>
      <c r="O826" s="1">
        <v>3589.32</v>
      </c>
      <c r="P826" s="1">
        <v>714</v>
      </c>
    </row>
    <row r="827" spans="1:16" x14ac:dyDescent="0.3">
      <c r="A827" s="1" t="s">
        <v>405</v>
      </c>
      <c r="B827" s="2">
        <v>45557</v>
      </c>
      <c r="C827" s="2" t="str">
        <f>TEXT(E_Commerce_data[[#This Row],[order_date]],"MMM")</f>
        <v>Sep</v>
      </c>
      <c r="D827" s="1" t="s">
        <v>70</v>
      </c>
      <c r="E827" s="1" t="s">
        <v>71</v>
      </c>
      <c r="F827" s="1" t="s">
        <v>72</v>
      </c>
      <c r="G827" s="1" t="s">
        <v>48</v>
      </c>
      <c r="H827" s="2">
        <v>45150</v>
      </c>
      <c r="I827" s="1" t="s">
        <v>315</v>
      </c>
      <c r="J827" s="1" t="s">
        <v>316</v>
      </c>
      <c r="K827" s="1" t="s">
        <v>22</v>
      </c>
      <c r="L827" s="1">
        <v>16937.37</v>
      </c>
      <c r="M827" s="1">
        <v>5</v>
      </c>
      <c r="N827" s="1">
        <v>0.1</v>
      </c>
      <c r="O827" s="1">
        <v>76218.16</v>
      </c>
      <c r="P827" s="1">
        <v>21714.26</v>
      </c>
    </row>
    <row r="828" spans="1:16" x14ac:dyDescent="0.3">
      <c r="A828" s="1" t="s">
        <v>1091</v>
      </c>
      <c r="B828" s="2">
        <v>45567</v>
      </c>
      <c r="C828" s="2" t="str">
        <f>TEXT(E_Commerce_data[[#This Row],[order_date]],"MMM")</f>
        <v>Oct</v>
      </c>
      <c r="D828" s="1" t="s">
        <v>125</v>
      </c>
      <c r="E828" s="1" t="s">
        <v>126</v>
      </c>
      <c r="F828" s="1" t="s">
        <v>72</v>
      </c>
      <c r="G828" s="1" t="s">
        <v>48</v>
      </c>
      <c r="H828" s="2">
        <v>44952</v>
      </c>
      <c r="I828" s="1" t="s">
        <v>1034</v>
      </c>
      <c r="J828" s="1" t="s">
        <v>1035</v>
      </c>
      <c r="K828" s="1" t="s">
        <v>902</v>
      </c>
      <c r="L828" s="1">
        <v>11938.33</v>
      </c>
      <c r="M828" s="1">
        <v>2</v>
      </c>
      <c r="N828" s="1">
        <v>0</v>
      </c>
      <c r="O828" s="1">
        <v>23876.66</v>
      </c>
      <c r="P828" s="1">
        <v>2103.04</v>
      </c>
    </row>
    <row r="829" spans="1:16" x14ac:dyDescent="0.3">
      <c r="A829" s="1" t="s">
        <v>1242</v>
      </c>
      <c r="B829" s="2">
        <v>45635</v>
      </c>
      <c r="C829" s="2" t="str">
        <f>TEXT(E_Commerce_data[[#This Row],[order_date]],"MMM")</f>
        <v>Dec</v>
      </c>
      <c r="D829" s="1" t="s">
        <v>118</v>
      </c>
      <c r="E829" s="1" t="s">
        <v>119</v>
      </c>
      <c r="F829" s="1" t="s">
        <v>26</v>
      </c>
      <c r="G829" s="1" t="s">
        <v>27</v>
      </c>
      <c r="H829" s="2">
        <v>45086</v>
      </c>
      <c r="I829" s="1" t="s">
        <v>1162</v>
      </c>
      <c r="J829" s="1" t="s">
        <v>1163</v>
      </c>
      <c r="K829" s="1" t="s">
        <v>902</v>
      </c>
      <c r="L829" s="1">
        <v>10751.13</v>
      </c>
      <c r="M829" s="1">
        <v>1</v>
      </c>
      <c r="N829" s="1">
        <v>0.2</v>
      </c>
      <c r="O829" s="1">
        <v>8600.9</v>
      </c>
      <c r="P829" s="1">
        <v>2752.02</v>
      </c>
    </row>
    <row r="830" spans="1:16" x14ac:dyDescent="0.3">
      <c r="A830" s="1" t="s">
        <v>748</v>
      </c>
      <c r="B830" s="2">
        <v>45561</v>
      </c>
      <c r="C830" s="2" t="str">
        <f>TEXT(E_Commerce_data[[#This Row],[order_date]],"MMM")</f>
        <v>Sep</v>
      </c>
      <c r="D830" s="1" t="s">
        <v>277</v>
      </c>
      <c r="E830" s="1" t="s">
        <v>278</v>
      </c>
      <c r="F830" s="1" t="s">
        <v>43</v>
      </c>
      <c r="G830" s="1" t="s">
        <v>32</v>
      </c>
      <c r="H830" s="2">
        <v>44997</v>
      </c>
      <c r="I830" s="1" t="s">
        <v>706</v>
      </c>
      <c r="J830" s="1" t="s">
        <v>707</v>
      </c>
      <c r="K830" s="1" t="s">
        <v>560</v>
      </c>
      <c r="L830" s="1">
        <v>31573.59</v>
      </c>
      <c r="M830" s="1">
        <v>4</v>
      </c>
      <c r="N830" s="1">
        <v>0</v>
      </c>
      <c r="O830" s="1">
        <v>126294.36</v>
      </c>
      <c r="P830" s="1">
        <v>26162.67</v>
      </c>
    </row>
    <row r="831" spans="1:16" x14ac:dyDescent="0.3">
      <c r="A831" s="1" t="s">
        <v>1243</v>
      </c>
      <c r="B831" s="2">
        <v>45758</v>
      </c>
      <c r="C831" s="2" t="str">
        <f>TEXT(E_Commerce_data[[#This Row],[order_date]],"MMM")</f>
        <v>Apr</v>
      </c>
      <c r="D831" s="1" t="s">
        <v>179</v>
      </c>
      <c r="E831" s="1" t="s">
        <v>180</v>
      </c>
      <c r="F831" s="1" t="s">
        <v>47</v>
      </c>
      <c r="G831" s="1" t="s">
        <v>48</v>
      </c>
      <c r="H831" s="2">
        <v>45337</v>
      </c>
      <c r="I831" s="1" t="s">
        <v>1162</v>
      </c>
      <c r="J831" s="1" t="s">
        <v>1163</v>
      </c>
      <c r="K831" s="1" t="s">
        <v>902</v>
      </c>
      <c r="L831" s="1">
        <v>10751.13</v>
      </c>
      <c r="M831" s="1">
        <v>5</v>
      </c>
      <c r="N831" s="1">
        <v>0.15</v>
      </c>
      <c r="O831" s="1">
        <v>45692.3</v>
      </c>
      <c r="P831" s="1">
        <v>3341.07</v>
      </c>
    </row>
    <row r="832" spans="1:16" x14ac:dyDescent="0.3">
      <c r="A832" s="1" t="s">
        <v>1021</v>
      </c>
      <c r="B832" s="2">
        <v>45872</v>
      </c>
      <c r="C832" s="2" t="str">
        <f>TEXT(E_Commerce_data[[#This Row],[order_date]],"MMM")</f>
        <v>Aug</v>
      </c>
      <c r="D832" s="1" t="s">
        <v>139</v>
      </c>
      <c r="E832" s="1" t="s">
        <v>140</v>
      </c>
      <c r="F832" s="1" t="s">
        <v>47</v>
      </c>
      <c r="G832" s="1" t="s">
        <v>48</v>
      </c>
      <c r="H832" s="2">
        <v>44984</v>
      </c>
      <c r="I832" s="1" t="s">
        <v>964</v>
      </c>
      <c r="J832" s="1" t="s">
        <v>965</v>
      </c>
      <c r="K832" s="1" t="s">
        <v>902</v>
      </c>
      <c r="L832" s="1">
        <v>3589.32</v>
      </c>
      <c r="M832" s="1">
        <v>5</v>
      </c>
      <c r="N832" s="1">
        <v>0</v>
      </c>
      <c r="O832" s="1">
        <v>17946.599999999999</v>
      </c>
      <c r="P832" s="1">
        <v>1195.81</v>
      </c>
    </row>
    <row r="833" spans="1:16" x14ac:dyDescent="0.3">
      <c r="A833" s="1" t="s">
        <v>1152</v>
      </c>
      <c r="B833" s="2">
        <v>45397</v>
      </c>
      <c r="C833" s="2" t="str">
        <f>TEXT(E_Commerce_data[[#This Row],[order_date]],"MMM")</f>
        <v>Apr</v>
      </c>
      <c r="D833" s="1" t="s">
        <v>96</v>
      </c>
      <c r="E833" s="1" t="s">
        <v>97</v>
      </c>
      <c r="F833" s="1" t="s">
        <v>18</v>
      </c>
      <c r="G833" s="1" t="s">
        <v>19</v>
      </c>
      <c r="H833" s="2">
        <v>45094</v>
      </c>
      <c r="I833" s="1" t="s">
        <v>1102</v>
      </c>
      <c r="J833" s="1" t="s">
        <v>1103</v>
      </c>
      <c r="K833" s="1" t="s">
        <v>902</v>
      </c>
      <c r="L833" s="1">
        <v>33465.440000000002</v>
      </c>
      <c r="M833" s="1">
        <v>2</v>
      </c>
      <c r="N833" s="1">
        <v>0</v>
      </c>
      <c r="O833" s="1">
        <v>66930.880000000005</v>
      </c>
      <c r="P833" s="1">
        <v>6505.21</v>
      </c>
    </row>
    <row r="834" spans="1:16" x14ac:dyDescent="0.3">
      <c r="A834" s="1" t="s">
        <v>476</v>
      </c>
      <c r="B834" s="2">
        <v>45525</v>
      </c>
      <c r="C834" s="2" t="str">
        <f>TEXT(E_Commerce_data[[#This Row],[order_date]],"MMM")</f>
        <v>Aug</v>
      </c>
      <c r="D834" s="1" t="s">
        <v>57</v>
      </c>
      <c r="E834" s="1" t="s">
        <v>58</v>
      </c>
      <c r="F834" s="1" t="s">
        <v>55</v>
      </c>
      <c r="G834" s="1" t="s">
        <v>27</v>
      </c>
      <c r="H834" s="2">
        <v>45391</v>
      </c>
      <c r="I834" s="1" t="s">
        <v>420</v>
      </c>
      <c r="J834" s="1" t="s">
        <v>421</v>
      </c>
      <c r="K834" s="1" t="s">
        <v>22</v>
      </c>
      <c r="L834" s="1">
        <v>29436.02</v>
      </c>
      <c r="M834" s="1">
        <v>5</v>
      </c>
      <c r="N834" s="1">
        <v>0.15</v>
      </c>
      <c r="O834" s="1">
        <v>125103.08</v>
      </c>
      <c r="P834" s="1">
        <v>33381.69</v>
      </c>
    </row>
    <row r="835" spans="1:16" x14ac:dyDescent="0.3">
      <c r="A835" s="1" t="s">
        <v>1244</v>
      </c>
      <c r="B835" s="2">
        <v>45304</v>
      </c>
      <c r="C835" s="2" t="str">
        <f>TEXT(E_Commerce_data[[#This Row],[order_date]],"MMM")</f>
        <v>Jan</v>
      </c>
      <c r="D835" s="1" t="s">
        <v>121</v>
      </c>
      <c r="E835" s="1" t="s">
        <v>122</v>
      </c>
      <c r="F835" s="1" t="s">
        <v>26</v>
      </c>
      <c r="G835" s="1" t="s">
        <v>27</v>
      </c>
      <c r="H835" s="2">
        <v>44994</v>
      </c>
      <c r="I835" s="1" t="s">
        <v>1162</v>
      </c>
      <c r="J835" s="1" t="s">
        <v>1163</v>
      </c>
      <c r="K835" s="1" t="s">
        <v>902</v>
      </c>
      <c r="L835" s="1">
        <v>10751.13</v>
      </c>
      <c r="M835" s="1">
        <v>5</v>
      </c>
      <c r="N835" s="1">
        <v>0</v>
      </c>
      <c r="O835" s="1">
        <v>53755.65</v>
      </c>
      <c r="P835" s="1">
        <v>3397.97</v>
      </c>
    </row>
    <row r="836" spans="1:16" x14ac:dyDescent="0.3">
      <c r="A836" s="1" t="s">
        <v>810</v>
      </c>
      <c r="B836" s="2">
        <v>45684</v>
      </c>
      <c r="C836" s="2" t="str">
        <f>TEXT(E_Commerce_data[[#This Row],[order_date]],"MMM")</f>
        <v>Jan</v>
      </c>
      <c r="D836" s="1" t="s">
        <v>142</v>
      </c>
      <c r="E836" s="1" t="s">
        <v>143</v>
      </c>
      <c r="F836" s="1" t="s">
        <v>93</v>
      </c>
      <c r="G836" s="1" t="s">
        <v>27</v>
      </c>
      <c r="H836" s="2">
        <v>45109</v>
      </c>
      <c r="I836" s="1" t="s">
        <v>763</v>
      </c>
      <c r="J836" s="1" t="s">
        <v>764</v>
      </c>
      <c r="K836" s="1" t="s">
        <v>560</v>
      </c>
      <c r="L836" s="1">
        <v>11485.64</v>
      </c>
      <c r="M836" s="1">
        <v>2</v>
      </c>
      <c r="N836" s="1">
        <v>0</v>
      </c>
      <c r="O836" s="1">
        <v>22971.279999999999</v>
      </c>
      <c r="P836" s="1">
        <v>4399.67</v>
      </c>
    </row>
    <row r="837" spans="1:16" x14ac:dyDescent="0.3">
      <c r="A837" s="1" t="s">
        <v>1022</v>
      </c>
      <c r="B837" s="2">
        <v>45328</v>
      </c>
      <c r="C837" s="2" t="str">
        <f>TEXT(E_Commerce_data[[#This Row],[order_date]],"MMM")</f>
        <v>Feb</v>
      </c>
      <c r="D837" s="1" t="s">
        <v>371</v>
      </c>
      <c r="E837" s="1" t="s">
        <v>372</v>
      </c>
      <c r="F837" s="1" t="s">
        <v>31</v>
      </c>
      <c r="G837" s="1" t="s">
        <v>32</v>
      </c>
      <c r="H837" s="2">
        <v>45007</v>
      </c>
      <c r="I837" s="1" t="s">
        <v>964</v>
      </c>
      <c r="J837" s="1" t="s">
        <v>965</v>
      </c>
      <c r="K837" s="1" t="s">
        <v>902</v>
      </c>
      <c r="L837" s="1">
        <v>3589.32</v>
      </c>
      <c r="M837" s="1">
        <v>2</v>
      </c>
      <c r="N837" s="1">
        <v>0</v>
      </c>
      <c r="O837" s="1">
        <v>7178.64</v>
      </c>
      <c r="P837" s="1">
        <v>2364.27</v>
      </c>
    </row>
    <row r="838" spans="1:16" x14ac:dyDescent="0.3">
      <c r="A838" s="1" t="s">
        <v>477</v>
      </c>
      <c r="B838" s="2">
        <v>45963</v>
      </c>
      <c r="C838" s="2" t="str">
        <f>TEXT(E_Commerce_data[[#This Row],[order_date]],"MMM")</f>
        <v>Nov</v>
      </c>
      <c r="D838" s="1" t="s">
        <v>361</v>
      </c>
      <c r="E838" s="1" t="s">
        <v>362</v>
      </c>
      <c r="F838" s="1" t="s">
        <v>93</v>
      </c>
      <c r="G838" s="1" t="s">
        <v>27</v>
      </c>
      <c r="H838" s="2">
        <v>45227</v>
      </c>
      <c r="I838" s="1" t="s">
        <v>420</v>
      </c>
      <c r="J838" s="1" t="s">
        <v>421</v>
      </c>
      <c r="K838" s="1" t="s">
        <v>22</v>
      </c>
      <c r="L838" s="1">
        <v>29436.02</v>
      </c>
      <c r="M838" s="1">
        <v>5</v>
      </c>
      <c r="N838" s="1">
        <v>0.2</v>
      </c>
      <c r="O838" s="1">
        <v>117744.08</v>
      </c>
      <c r="P838" s="1">
        <v>38170.78</v>
      </c>
    </row>
    <row r="839" spans="1:16" x14ac:dyDescent="0.3">
      <c r="A839" s="1" t="s">
        <v>185</v>
      </c>
      <c r="B839" s="2">
        <v>45718</v>
      </c>
      <c r="C839" s="2" t="str">
        <f>TEXT(E_Commerce_data[[#This Row],[order_date]],"MMM")</f>
        <v>Mar</v>
      </c>
      <c r="D839" s="1" t="s">
        <v>186</v>
      </c>
      <c r="E839" s="1" t="s">
        <v>187</v>
      </c>
      <c r="F839" s="1" t="s">
        <v>26</v>
      </c>
      <c r="G839" s="1" t="s">
        <v>27</v>
      </c>
      <c r="H839" s="2">
        <v>45493</v>
      </c>
      <c r="I839" s="1" t="s">
        <v>20</v>
      </c>
      <c r="J839" s="1" t="s">
        <v>21</v>
      </c>
      <c r="K839" s="1" t="s">
        <v>22</v>
      </c>
      <c r="L839" s="1">
        <v>6094.16</v>
      </c>
      <c r="M839" s="1">
        <v>4</v>
      </c>
      <c r="N839" s="1">
        <v>0</v>
      </c>
      <c r="O839" s="1">
        <v>24376.639999999999</v>
      </c>
      <c r="P839" s="1">
        <v>3572.17</v>
      </c>
    </row>
    <row r="840" spans="1:16" x14ac:dyDescent="0.3">
      <c r="A840" s="1" t="s">
        <v>622</v>
      </c>
      <c r="B840" s="2">
        <v>45877</v>
      </c>
      <c r="C840" s="2" t="str">
        <f>TEXT(E_Commerce_data[[#This Row],[order_date]],"MMM")</f>
        <v>Aug</v>
      </c>
      <c r="D840" s="1" t="s">
        <v>495</v>
      </c>
      <c r="E840" s="1" t="s">
        <v>496</v>
      </c>
      <c r="F840" s="1" t="s">
        <v>36</v>
      </c>
      <c r="G840" s="1" t="s">
        <v>32</v>
      </c>
      <c r="H840" s="2">
        <v>45623</v>
      </c>
      <c r="I840" s="1" t="s">
        <v>558</v>
      </c>
      <c r="J840" s="1" t="s">
        <v>559</v>
      </c>
      <c r="K840" s="1" t="s">
        <v>560</v>
      </c>
      <c r="L840" s="1">
        <v>11049.86</v>
      </c>
      <c r="M840" s="1">
        <v>3</v>
      </c>
      <c r="N840" s="1">
        <v>0</v>
      </c>
      <c r="O840" s="1">
        <v>33149.58</v>
      </c>
      <c r="P840" s="1">
        <v>9871.92</v>
      </c>
    </row>
    <row r="841" spans="1:16" x14ac:dyDescent="0.3">
      <c r="A841" s="1" t="s">
        <v>309</v>
      </c>
      <c r="B841" s="2">
        <v>45345</v>
      </c>
      <c r="C841" s="2" t="str">
        <f>TEXT(E_Commerce_data[[#This Row],[order_date]],"MMM")</f>
        <v>Feb</v>
      </c>
      <c r="D841" s="1" t="s">
        <v>41</v>
      </c>
      <c r="E841" s="1" t="s">
        <v>42</v>
      </c>
      <c r="F841" s="1" t="s">
        <v>43</v>
      </c>
      <c r="G841" s="1" t="s">
        <v>32</v>
      </c>
      <c r="H841" s="2">
        <v>45020</v>
      </c>
      <c r="I841" s="1" t="s">
        <v>215</v>
      </c>
      <c r="J841" s="1" t="s">
        <v>216</v>
      </c>
      <c r="K841" s="1" t="s">
        <v>22</v>
      </c>
      <c r="L841" s="1">
        <v>11273.63</v>
      </c>
      <c r="M841" s="1">
        <v>3</v>
      </c>
      <c r="N841" s="1">
        <v>0</v>
      </c>
      <c r="O841" s="1">
        <v>33820.89</v>
      </c>
      <c r="P841" s="1">
        <v>6784.89</v>
      </c>
    </row>
    <row r="842" spans="1:16" x14ac:dyDescent="0.3">
      <c r="A842" s="1" t="s">
        <v>1092</v>
      </c>
      <c r="B842" s="2">
        <v>45339</v>
      </c>
      <c r="C842" s="2" t="str">
        <f>TEXT(E_Commerce_data[[#This Row],[order_date]],"MMM")</f>
        <v>Feb</v>
      </c>
      <c r="D842" s="1" t="s">
        <v>209</v>
      </c>
      <c r="E842" s="1" t="s">
        <v>210</v>
      </c>
      <c r="F842" s="1" t="s">
        <v>18</v>
      </c>
      <c r="G842" s="1" t="s">
        <v>19</v>
      </c>
      <c r="H842" s="2">
        <v>45507</v>
      </c>
      <c r="I842" s="1" t="s">
        <v>1034</v>
      </c>
      <c r="J842" s="1" t="s">
        <v>1035</v>
      </c>
      <c r="K842" s="1" t="s">
        <v>902</v>
      </c>
      <c r="L842" s="1">
        <v>11938.33</v>
      </c>
      <c r="M842" s="1">
        <v>2</v>
      </c>
      <c r="N842" s="1">
        <v>0</v>
      </c>
      <c r="O842" s="1">
        <v>23876.66</v>
      </c>
      <c r="P842" s="1">
        <v>6955.3</v>
      </c>
    </row>
    <row r="843" spans="1:16" x14ac:dyDescent="0.3">
      <c r="A843" s="1" t="s">
        <v>1023</v>
      </c>
      <c r="B843" s="2">
        <v>45581</v>
      </c>
      <c r="C843" s="2" t="str">
        <f>TEXT(E_Commerce_data[[#This Row],[order_date]],"MMM")</f>
        <v>Oct</v>
      </c>
      <c r="D843" s="1" t="s">
        <v>189</v>
      </c>
      <c r="E843" s="1" t="s">
        <v>190</v>
      </c>
      <c r="F843" s="1" t="s">
        <v>26</v>
      </c>
      <c r="G843" s="1" t="s">
        <v>27</v>
      </c>
      <c r="H843" s="2">
        <v>45645</v>
      </c>
      <c r="I843" s="1" t="s">
        <v>964</v>
      </c>
      <c r="J843" s="1" t="s">
        <v>965</v>
      </c>
      <c r="K843" s="1" t="s">
        <v>902</v>
      </c>
      <c r="L843" s="1">
        <v>3589.32</v>
      </c>
      <c r="M843" s="1">
        <v>4</v>
      </c>
      <c r="N843" s="1">
        <v>0</v>
      </c>
      <c r="O843" s="1">
        <v>14357.28</v>
      </c>
      <c r="P843" s="1">
        <v>4495.2299999999996</v>
      </c>
    </row>
    <row r="844" spans="1:16" x14ac:dyDescent="0.3">
      <c r="A844" s="1" t="s">
        <v>811</v>
      </c>
      <c r="B844" s="2">
        <v>45759</v>
      </c>
      <c r="C844" s="2" t="str">
        <f>TEXT(E_Commerce_data[[#This Row],[order_date]],"MMM")</f>
        <v>Apr</v>
      </c>
      <c r="D844" s="1" t="s">
        <v>212</v>
      </c>
      <c r="E844" s="1" t="s">
        <v>213</v>
      </c>
      <c r="F844" s="1" t="s">
        <v>18</v>
      </c>
      <c r="G844" s="1" t="s">
        <v>19</v>
      </c>
      <c r="H844" s="2">
        <v>45613</v>
      </c>
      <c r="I844" s="1" t="s">
        <v>763</v>
      </c>
      <c r="J844" s="1" t="s">
        <v>764</v>
      </c>
      <c r="K844" s="1" t="s">
        <v>560</v>
      </c>
      <c r="L844" s="1">
        <v>11485.64</v>
      </c>
      <c r="M844" s="1">
        <v>3</v>
      </c>
      <c r="N844" s="1">
        <v>0</v>
      </c>
      <c r="O844" s="1">
        <v>34456.92</v>
      </c>
      <c r="P844" s="1">
        <v>2615.8200000000002</v>
      </c>
    </row>
    <row r="845" spans="1:16" x14ac:dyDescent="0.3">
      <c r="A845" s="1" t="s">
        <v>478</v>
      </c>
      <c r="B845" s="2">
        <v>45869</v>
      </c>
      <c r="C845" s="2" t="str">
        <f>TEXT(E_Commerce_data[[#This Row],[order_date]],"MMM")</f>
        <v>Jul</v>
      </c>
      <c r="D845" s="1" t="s">
        <v>99</v>
      </c>
      <c r="E845" s="1" t="s">
        <v>100</v>
      </c>
      <c r="F845" s="1" t="s">
        <v>43</v>
      </c>
      <c r="G845" s="1" t="s">
        <v>32</v>
      </c>
      <c r="H845" s="2">
        <v>45468</v>
      </c>
      <c r="I845" s="1" t="s">
        <v>420</v>
      </c>
      <c r="J845" s="1" t="s">
        <v>421</v>
      </c>
      <c r="K845" s="1" t="s">
        <v>22</v>
      </c>
      <c r="L845" s="1">
        <v>29436.02</v>
      </c>
      <c r="M845" s="1">
        <v>1</v>
      </c>
      <c r="N845" s="1">
        <v>0</v>
      </c>
      <c r="O845" s="1">
        <v>29436.02</v>
      </c>
      <c r="P845" s="1">
        <v>3243.89</v>
      </c>
    </row>
    <row r="846" spans="1:16" x14ac:dyDescent="0.3">
      <c r="A846" s="1" t="s">
        <v>479</v>
      </c>
      <c r="B846" s="2">
        <v>45767</v>
      </c>
      <c r="C846" s="2" t="str">
        <f>TEXT(E_Commerce_data[[#This Row],[order_date]],"MMM")</f>
        <v>Apr</v>
      </c>
      <c r="D846" s="1" t="s">
        <v>159</v>
      </c>
      <c r="E846" s="1" t="s">
        <v>160</v>
      </c>
      <c r="F846" s="1" t="s">
        <v>76</v>
      </c>
      <c r="G846" s="1" t="s">
        <v>32</v>
      </c>
      <c r="H846" s="2">
        <v>45211</v>
      </c>
      <c r="I846" s="1" t="s">
        <v>420</v>
      </c>
      <c r="J846" s="1" t="s">
        <v>421</v>
      </c>
      <c r="K846" s="1" t="s">
        <v>22</v>
      </c>
      <c r="L846" s="1">
        <v>29436.02</v>
      </c>
      <c r="M846" s="1">
        <v>3</v>
      </c>
      <c r="N846" s="1">
        <v>0.15</v>
      </c>
      <c r="O846" s="1">
        <v>75061.850000000006</v>
      </c>
      <c r="P846" s="1">
        <v>17775.79</v>
      </c>
    </row>
    <row r="847" spans="1:16" x14ac:dyDescent="0.3">
      <c r="A847" s="1" t="s">
        <v>188</v>
      </c>
      <c r="B847" s="2">
        <v>45492</v>
      </c>
      <c r="C847" s="2" t="str">
        <f>TEXT(E_Commerce_data[[#This Row],[order_date]],"MMM")</f>
        <v>Jul</v>
      </c>
      <c r="D847" s="1" t="s">
        <v>189</v>
      </c>
      <c r="E847" s="1" t="s">
        <v>190</v>
      </c>
      <c r="F847" s="1" t="s">
        <v>26</v>
      </c>
      <c r="G847" s="1" t="s">
        <v>27</v>
      </c>
      <c r="H847" s="2">
        <v>45645</v>
      </c>
      <c r="I847" s="1" t="s">
        <v>20</v>
      </c>
      <c r="J847" s="1" t="s">
        <v>21</v>
      </c>
      <c r="K847" s="1" t="s">
        <v>22</v>
      </c>
      <c r="L847" s="1">
        <v>6094.16</v>
      </c>
      <c r="M847" s="1">
        <v>3</v>
      </c>
      <c r="N847" s="1">
        <v>0.1</v>
      </c>
      <c r="O847" s="1">
        <v>16454.23</v>
      </c>
      <c r="P847" s="1">
        <v>5620.06</v>
      </c>
    </row>
    <row r="848" spans="1:16" x14ac:dyDescent="0.3">
      <c r="A848" s="1" t="s">
        <v>1153</v>
      </c>
      <c r="B848" s="2">
        <v>45446</v>
      </c>
      <c r="C848" s="2" t="str">
        <f>TEXT(E_Commerce_data[[#This Row],[order_date]],"MMM")</f>
        <v>Jun</v>
      </c>
      <c r="D848" s="1" t="s">
        <v>96</v>
      </c>
      <c r="E848" s="1" t="s">
        <v>97</v>
      </c>
      <c r="F848" s="1" t="s">
        <v>18</v>
      </c>
      <c r="G848" s="1" t="s">
        <v>19</v>
      </c>
      <c r="H848" s="2">
        <v>45094</v>
      </c>
      <c r="I848" s="1" t="s">
        <v>1102</v>
      </c>
      <c r="J848" s="1" t="s">
        <v>1103</v>
      </c>
      <c r="K848" s="1" t="s">
        <v>902</v>
      </c>
      <c r="L848" s="1">
        <v>33465.440000000002</v>
      </c>
      <c r="M848" s="1">
        <v>5</v>
      </c>
      <c r="N848" s="1">
        <v>0.2</v>
      </c>
      <c r="O848" s="1">
        <v>133861.76000000001</v>
      </c>
      <c r="P848" s="1">
        <v>38658.21</v>
      </c>
    </row>
    <row r="849" spans="1:16" x14ac:dyDescent="0.3">
      <c r="A849" s="1" t="s">
        <v>1093</v>
      </c>
      <c r="B849" s="2">
        <v>45846</v>
      </c>
      <c r="C849" s="2" t="str">
        <f>TEXT(E_Commerce_data[[#This Row],[order_date]],"MMM")</f>
        <v>Jul</v>
      </c>
      <c r="D849" s="1" t="s">
        <v>284</v>
      </c>
      <c r="E849" s="1" t="s">
        <v>285</v>
      </c>
      <c r="F849" s="1" t="s">
        <v>47</v>
      </c>
      <c r="G849" s="1" t="s">
        <v>48</v>
      </c>
      <c r="H849" s="2">
        <v>45427</v>
      </c>
      <c r="I849" s="1" t="s">
        <v>1034</v>
      </c>
      <c r="J849" s="1" t="s">
        <v>1035</v>
      </c>
      <c r="K849" s="1" t="s">
        <v>902</v>
      </c>
      <c r="L849" s="1">
        <v>11938.33</v>
      </c>
      <c r="M849" s="1">
        <v>1</v>
      </c>
      <c r="N849" s="1">
        <v>0.05</v>
      </c>
      <c r="O849" s="1">
        <v>11341.41</v>
      </c>
      <c r="P849" s="1">
        <v>648.41999999999996</v>
      </c>
    </row>
    <row r="850" spans="1:16" x14ac:dyDescent="0.3">
      <c r="A850" s="1" t="s">
        <v>950</v>
      </c>
      <c r="B850" s="2">
        <v>45301</v>
      </c>
      <c r="C850" s="2" t="str">
        <f>TEXT(E_Commerce_data[[#This Row],[order_date]],"MMM")</f>
        <v>Jan</v>
      </c>
      <c r="D850" s="1" t="s">
        <v>643</v>
      </c>
      <c r="E850" s="1" t="s">
        <v>644</v>
      </c>
      <c r="F850" s="1" t="s">
        <v>93</v>
      </c>
      <c r="G850" s="1" t="s">
        <v>27</v>
      </c>
      <c r="H850" s="2">
        <v>45130</v>
      </c>
      <c r="I850" s="1" t="s">
        <v>900</v>
      </c>
      <c r="J850" s="1" t="s">
        <v>901</v>
      </c>
      <c r="K850" s="1" t="s">
        <v>902</v>
      </c>
      <c r="L850" s="1">
        <v>42988.79</v>
      </c>
      <c r="M850" s="1">
        <v>3</v>
      </c>
      <c r="N850" s="1">
        <v>0.15</v>
      </c>
      <c r="O850" s="1">
        <v>109621.41</v>
      </c>
      <c r="P850" s="1">
        <v>33091.660000000003</v>
      </c>
    </row>
    <row r="851" spans="1:16" x14ac:dyDescent="0.3">
      <c r="A851" s="1" t="s">
        <v>694</v>
      </c>
      <c r="B851" s="2">
        <v>45677</v>
      </c>
      <c r="C851" s="2" t="str">
        <f>TEXT(E_Commerce_data[[#This Row],[order_date]],"MMM")</f>
        <v>Jan</v>
      </c>
      <c r="D851" s="1" t="s">
        <v>287</v>
      </c>
      <c r="E851" s="1" t="s">
        <v>288</v>
      </c>
      <c r="F851" s="1" t="s">
        <v>18</v>
      </c>
      <c r="G851" s="1" t="s">
        <v>19</v>
      </c>
      <c r="H851" s="2">
        <v>44959</v>
      </c>
      <c r="I851" s="1" t="s">
        <v>633</v>
      </c>
      <c r="J851" s="1" t="s">
        <v>634</v>
      </c>
      <c r="K851" s="1" t="s">
        <v>560</v>
      </c>
      <c r="L851" s="1">
        <v>3596.1</v>
      </c>
      <c r="M851" s="1">
        <v>3</v>
      </c>
      <c r="N851" s="1">
        <v>0</v>
      </c>
      <c r="O851" s="1">
        <v>10788.3</v>
      </c>
      <c r="P851" s="1">
        <v>2995.68</v>
      </c>
    </row>
    <row r="852" spans="1:16" x14ac:dyDescent="0.3">
      <c r="A852" s="1" t="s">
        <v>695</v>
      </c>
      <c r="B852" s="2">
        <v>45535</v>
      </c>
      <c r="C852" s="2" t="str">
        <f>TEXT(E_Commerce_data[[#This Row],[order_date]],"MMM")</f>
        <v>Aug</v>
      </c>
      <c r="D852" s="1" t="s">
        <v>70</v>
      </c>
      <c r="E852" s="1" t="s">
        <v>71</v>
      </c>
      <c r="F852" s="1" t="s">
        <v>72</v>
      </c>
      <c r="G852" s="1" t="s">
        <v>48</v>
      </c>
      <c r="H852" s="2">
        <v>45150</v>
      </c>
      <c r="I852" s="1" t="s">
        <v>633</v>
      </c>
      <c r="J852" s="1" t="s">
        <v>634</v>
      </c>
      <c r="K852" s="1" t="s">
        <v>560</v>
      </c>
      <c r="L852" s="1">
        <v>3596.1</v>
      </c>
      <c r="M852" s="1">
        <v>3</v>
      </c>
      <c r="N852" s="1">
        <v>0</v>
      </c>
      <c r="O852" s="1">
        <v>10788.3</v>
      </c>
      <c r="P852" s="1">
        <v>1203.52</v>
      </c>
    </row>
    <row r="853" spans="1:16" x14ac:dyDescent="0.3">
      <c r="A853" s="1" t="s">
        <v>812</v>
      </c>
      <c r="B853" s="2">
        <v>45437</v>
      </c>
      <c r="C853" s="2" t="str">
        <f>TEXT(E_Commerce_data[[#This Row],[order_date]],"MMM")</f>
        <v>May</v>
      </c>
      <c r="D853" s="1" t="s">
        <v>16</v>
      </c>
      <c r="E853" s="1" t="s">
        <v>17</v>
      </c>
      <c r="F853" s="1" t="s">
        <v>18</v>
      </c>
      <c r="G853" s="1" t="s">
        <v>19</v>
      </c>
      <c r="H853" s="2">
        <v>44986</v>
      </c>
      <c r="I853" s="1" t="s">
        <v>763</v>
      </c>
      <c r="J853" s="1" t="s">
        <v>764</v>
      </c>
      <c r="K853" s="1" t="s">
        <v>560</v>
      </c>
      <c r="L853" s="1">
        <v>11485.64</v>
      </c>
      <c r="M853" s="1">
        <v>4</v>
      </c>
      <c r="N853" s="1">
        <v>0.05</v>
      </c>
      <c r="O853" s="1">
        <v>43645.43</v>
      </c>
      <c r="P853" s="1">
        <v>14767.67</v>
      </c>
    </row>
    <row r="854" spans="1:16" x14ac:dyDescent="0.3">
      <c r="A854" s="1" t="s">
        <v>813</v>
      </c>
      <c r="B854" s="2">
        <v>45529</v>
      </c>
      <c r="C854" s="2" t="str">
        <f>TEXT(E_Commerce_data[[#This Row],[order_date]],"MMM")</f>
        <v>Aug</v>
      </c>
      <c r="D854" s="1" t="s">
        <v>297</v>
      </c>
      <c r="E854" s="1" t="s">
        <v>298</v>
      </c>
      <c r="F854" s="1" t="s">
        <v>47</v>
      </c>
      <c r="G854" s="1" t="s">
        <v>48</v>
      </c>
      <c r="H854" s="2">
        <v>45092</v>
      </c>
      <c r="I854" s="1" t="s">
        <v>763</v>
      </c>
      <c r="J854" s="1" t="s">
        <v>764</v>
      </c>
      <c r="K854" s="1" t="s">
        <v>560</v>
      </c>
      <c r="L854" s="1">
        <v>11485.64</v>
      </c>
      <c r="M854" s="1">
        <v>3</v>
      </c>
      <c r="N854" s="1">
        <v>0</v>
      </c>
      <c r="O854" s="1">
        <v>34456.92</v>
      </c>
      <c r="P854" s="1">
        <v>2176.65</v>
      </c>
    </row>
    <row r="855" spans="1:16" x14ac:dyDescent="0.3">
      <c r="A855" s="1" t="s">
        <v>1154</v>
      </c>
      <c r="B855" s="2">
        <v>45673</v>
      </c>
      <c r="C855" s="2" t="str">
        <f>TEXT(E_Commerce_data[[#This Row],[order_date]],"MMM")</f>
        <v>Jan</v>
      </c>
      <c r="D855" s="1" t="s">
        <v>74</v>
      </c>
      <c r="E855" s="1" t="s">
        <v>75</v>
      </c>
      <c r="F855" s="1" t="s">
        <v>76</v>
      </c>
      <c r="G855" s="1" t="s">
        <v>32</v>
      </c>
      <c r="H855" s="2">
        <v>44954</v>
      </c>
      <c r="I855" s="1" t="s">
        <v>1102</v>
      </c>
      <c r="J855" s="1" t="s">
        <v>1103</v>
      </c>
      <c r="K855" s="1" t="s">
        <v>902</v>
      </c>
      <c r="L855" s="1">
        <v>33465.440000000002</v>
      </c>
      <c r="M855" s="1">
        <v>5</v>
      </c>
      <c r="N855" s="1">
        <v>0.05</v>
      </c>
      <c r="O855" s="1">
        <v>158960.84</v>
      </c>
      <c r="P855" s="1">
        <v>41370.21</v>
      </c>
    </row>
    <row r="856" spans="1:16" x14ac:dyDescent="0.3">
      <c r="A856" s="1" t="s">
        <v>1245</v>
      </c>
      <c r="B856" s="2">
        <v>45389</v>
      </c>
      <c r="C856" s="2" t="str">
        <f>TEXT(E_Commerce_data[[#This Row],[order_date]],"MMM")</f>
        <v>Apr</v>
      </c>
      <c r="D856" s="1" t="s">
        <v>153</v>
      </c>
      <c r="E856" s="1" t="s">
        <v>154</v>
      </c>
      <c r="F856" s="1" t="s">
        <v>43</v>
      </c>
      <c r="G856" s="1" t="s">
        <v>32</v>
      </c>
      <c r="H856" s="2">
        <v>45073</v>
      </c>
      <c r="I856" s="1" t="s">
        <v>1162</v>
      </c>
      <c r="J856" s="1" t="s">
        <v>1163</v>
      </c>
      <c r="K856" s="1" t="s">
        <v>902</v>
      </c>
      <c r="L856" s="1">
        <v>10751.13</v>
      </c>
      <c r="M856" s="1">
        <v>4</v>
      </c>
      <c r="N856" s="1">
        <v>0.15</v>
      </c>
      <c r="O856" s="1">
        <v>36553.839999999997</v>
      </c>
      <c r="P856" s="1">
        <v>2758.74</v>
      </c>
    </row>
    <row r="857" spans="1:16" x14ac:dyDescent="0.3">
      <c r="A857" s="1" t="s">
        <v>886</v>
      </c>
      <c r="B857" s="2">
        <v>45695</v>
      </c>
      <c r="C857" s="2" t="str">
        <f>TEXT(E_Commerce_data[[#This Row],[order_date]],"MMM")</f>
        <v>Feb</v>
      </c>
      <c r="D857" s="1" t="s">
        <v>142</v>
      </c>
      <c r="E857" s="1" t="s">
        <v>143</v>
      </c>
      <c r="F857" s="1" t="s">
        <v>93</v>
      </c>
      <c r="G857" s="1" t="s">
        <v>27</v>
      </c>
      <c r="H857" s="2">
        <v>45109</v>
      </c>
      <c r="I857" s="1" t="s">
        <v>822</v>
      </c>
      <c r="J857" s="1" t="s">
        <v>823</v>
      </c>
      <c r="K857" s="1" t="s">
        <v>560</v>
      </c>
      <c r="L857" s="1">
        <v>45275.73</v>
      </c>
      <c r="M857" s="1">
        <v>5</v>
      </c>
      <c r="N857" s="1">
        <v>0</v>
      </c>
      <c r="O857" s="1">
        <v>226378.65</v>
      </c>
      <c r="P857" s="1">
        <v>54594.54</v>
      </c>
    </row>
    <row r="858" spans="1:16" x14ac:dyDescent="0.3">
      <c r="A858" s="1" t="s">
        <v>1155</v>
      </c>
      <c r="B858" s="2">
        <v>45737</v>
      </c>
      <c r="C858" s="2" t="str">
        <f>TEXT(E_Commerce_data[[#This Row],[order_date]],"MMM")</f>
        <v>Mar</v>
      </c>
      <c r="D858" s="1" t="s">
        <v>16</v>
      </c>
      <c r="E858" s="1" t="s">
        <v>17</v>
      </c>
      <c r="F858" s="1" t="s">
        <v>18</v>
      </c>
      <c r="G858" s="1" t="s">
        <v>19</v>
      </c>
      <c r="H858" s="2">
        <v>44986</v>
      </c>
      <c r="I858" s="1" t="s">
        <v>1102</v>
      </c>
      <c r="J858" s="1" t="s">
        <v>1103</v>
      </c>
      <c r="K858" s="1" t="s">
        <v>902</v>
      </c>
      <c r="L858" s="1">
        <v>33465.440000000002</v>
      </c>
      <c r="M858" s="1">
        <v>1</v>
      </c>
      <c r="N858" s="1">
        <v>0.1</v>
      </c>
      <c r="O858" s="1">
        <v>30118.9</v>
      </c>
      <c r="P858" s="1">
        <v>6636.59</v>
      </c>
    </row>
    <row r="859" spans="1:16" x14ac:dyDescent="0.3">
      <c r="A859" s="1" t="s">
        <v>887</v>
      </c>
      <c r="B859" s="2">
        <v>45614</v>
      </c>
      <c r="C859" s="2" t="str">
        <f>TEXT(E_Commerce_data[[#This Row],[order_date]],"MMM")</f>
        <v>Nov</v>
      </c>
      <c r="D859" s="1" t="s">
        <v>237</v>
      </c>
      <c r="E859" s="1" t="s">
        <v>238</v>
      </c>
      <c r="F859" s="1" t="s">
        <v>93</v>
      </c>
      <c r="G859" s="1" t="s">
        <v>27</v>
      </c>
      <c r="H859" s="2">
        <v>45151</v>
      </c>
      <c r="I859" s="1" t="s">
        <v>822</v>
      </c>
      <c r="J859" s="1" t="s">
        <v>823</v>
      </c>
      <c r="K859" s="1" t="s">
        <v>560</v>
      </c>
      <c r="L859" s="1">
        <v>45275.73</v>
      </c>
      <c r="M859" s="1">
        <v>2</v>
      </c>
      <c r="N859" s="1">
        <v>0</v>
      </c>
      <c r="O859" s="1">
        <v>90551.46</v>
      </c>
      <c r="P859" s="1">
        <v>12451.08</v>
      </c>
    </row>
    <row r="860" spans="1:16" x14ac:dyDescent="0.3">
      <c r="A860" s="1" t="s">
        <v>310</v>
      </c>
      <c r="B860" s="2">
        <v>45626</v>
      </c>
      <c r="C860" s="2" t="str">
        <f>TEXT(E_Commerce_data[[#This Row],[order_date]],"MMM")</f>
        <v>Nov</v>
      </c>
      <c r="D860" s="1" t="s">
        <v>212</v>
      </c>
      <c r="E860" s="1" t="s">
        <v>213</v>
      </c>
      <c r="F860" s="1" t="s">
        <v>18</v>
      </c>
      <c r="G860" s="1" t="s">
        <v>19</v>
      </c>
      <c r="H860" s="2">
        <v>45613</v>
      </c>
      <c r="I860" s="1" t="s">
        <v>215</v>
      </c>
      <c r="J860" s="1" t="s">
        <v>216</v>
      </c>
      <c r="K860" s="1" t="s">
        <v>22</v>
      </c>
      <c r="L860" s="1">
        <v>11273.63</v>
      </c>
      <c r="M860" s="1">
        <v>4</v>
      </c>
      <c r="N860" s="1">
        <v>0.15</v>
      </c>
      <c r="O860" s="1">
        <v>38330.339999999997</v>
      </c>
      <c r="P860" s="1">
        <v>11482.62</v>
      </c>
    </row>
    <row r="861" spans="1:16" x14ac:dyDescent="0.3">
      <c r="A861" s="1" t="s">
        <v>406</v>
      </c>
      <c r="B861" s="2">
        <v>45368</v>
      </c>
      <c r="C861" s="2" t="str">
        <f>TEXT(E_Commerce_data[[#This Row],[order_date]],"MMM")</f>
        <v>Mar</v>
      </c>
      <c r="D861" s="1" t="s">
        <v>121</v>
      </c>
      <c r="E861" s="1" t="s">
        <v>122</v>
      </c>
      <c r="F861" s="1" t="s">
        <v>26</v>
      </c>
      <c r="G861" s="1" t="s">
        <v>27</v>
      </c>
      <c r="H861" s="2">
        <v>44994</v>
      </c>
      <c r="I861" s="1" t="s">
        <v>315</v>
      </c>
      <c r="J861" s="1" t="s">
        <v>316</v>
      </c>
      <c r="K861" s="1" t="s">
        <v>22</v>
      </c>
      <c r="L861" s="1">
        <v>16937.37</v>
      </c>
      <c r="M861" s="1">
        <v>3</v>
      </c>
      <c r="N861" s="1">
        <v>0.05</v>
      </c>
      <c r="O861" s="1">
        <v>48271.5</v>
      </c>
      <c r="P861" s="1">
        <v>6351.89</v>
      </c>
    </row>
    <row r="862" spans="1:16" x14ac:dyDescent="0.3">
      <c r="A862" s="1" t="s">
        <v>545</v>
      </c>
      <c r="B862" s="2">
        <v>45890</v>
      </c>
      <c r="C862" s="2" t="str">
        <f>TEXT(E_Commerce_data[[#This Row],[order_date]],"MMM")</f>
        <v>Aug</v>
      </c>
      <c r="D862" s="1" t="s">
        <v>453</v>
      </c>
      <c r="E862" s="1" t="s">
        <v>454</v>
      </c>
      <c r="F862" s="1" t="s">
        <v>31</v>
      </c>
      <c r="G862" s="1" t="s">
        <v>32</v>
      </c>
      <c r="H862" s="2">
        <v>45143</v>
      </c>
      <c r="I862" s="1" t="s">
        <v>489</v>
      </c>
      <c r="J862" s="1" t="s">
        <v>490</v>
      </c>
      <c r="K862" s="1" t="s">
        <v>22</v>
      </c>
      <c r="L862" s="1">
        <v>11544.23</v>
      </c>
      <c r="M862" s="1">
        <v>2</v>
      </c>
      <c r="N862" s="1">
        <v>0</v>
      </c>
      <c r="O862" s="1">
        <v>23088.46</v>
      </c>
      <c r="P862" s="1">
        <v>6556.69</v>
      </c>
    </row>
    <row r="863" spans="1:16" x14ac:dyDescent="0.3">
      <c r="A863" s="1" t="s">
        <v>623</v>
      </c>
      <c r="B863" s="2">
        <v>45752</v>
      </c>
      <c r="C863" s="2" t="str">
        <f>TEXT(E_Commerce_data[[#This Row],[order_date]],"MMM")</f>
        <v>Apr</v>
      </c>
      <c r="D863" s="1" t="s">
        <v>112</v>
      </c>
      <c r="E863" s="1" t="s">
        <v>113</v>
      </c>
      <c r="F863" s="1" t="s">
        <v>55</v>
      </c>
      <c r="G863" s="1" t="s">
        <v>27</v>
      </c>
      <c r="H863" s="2">
        <v>45602</v>
      </c>
      <c r="I863" s="1" t="s">
        <v>558</v>
      </c>
      <c r="J863" s="1" t="s">
        <v>559</v>
      </c>
      <c r="K863" s="1" t="s">
        <v>560</v>
      </c>
      <c r="L863" s="1">
        <v>11049.86</v>
      </c>
      <c r="M863" s="1">
        <v>1</v>
      </c>
      <c r="N863" s="1">
        <v>0</v>
      </c>
      <c r="O863" s="1">
        <v>11049.86</v>
      </c>
      <c r="P863" s="1">
        <v>902.74</v>
      </c>
    </row>
    <row r="864" spans="1:16" x14ac:dyDescent="0.3">
      <c r="A864" s="1" t="s">
        <v>888</v>
      </c>
      <c r="B864" s="2">
        <v>45840</v>
      </c>
      <c r="C864" s="2" t="str">
        <f>TEXT(E_Commerce_data[[#This Row],[order_date]],"MMM")</f>
        <v>Jul</v>
      </c>
      <c r="D864" s="1" t="s">
        <v>162</v>
      </c>
      <c r="E864" s="1" t="s">
        <v>163</v>
      </c>
      <c r="F864" s="1" t="s">
        <v>93</v>
      </c>
      <c r="G864" s="1" t="s">
        <v>27</v>
      </c>
      <c r="H864" s="2">
        <v>45200</v>
      </c>
      <c r="I864" s="1" t="s">
        <v>822</v>
      </c>
      <c r="J864" s="1" t="s">
        <v>823</v>
      </c>
      <c r="K864" s="1" t="s">
        <v>560</v>
      </c>
      <c r="L864" s="1">
        <v>45275.73</v>
      </c>
      <c r="M864" s="1">
        <v>4</v>
      </c>
      <c r="N864" s="1">
        <v>0</v>
      </c>
      <c r="O864" s="1">
        <v>181102.92</v>
      </c>
      <c r="P864" s="1">
        <v>31141.33</v>
      </c>
    </row>
    <row r="865" spans="1:16" x14ac:dyDescent="0.3">
      <c r="A865" s="1" t="s">
        <v>951</v>
      </c>
      <c r="B865" s="2">
        <v>45607</v>
      </c>
      <c r="C865" s="2" t="str">
        <f>TEXT(E_Commerce_data[[#This Row],[order_date]],"MMM")</f>
        <v>Nov</v>
      </c>
      <c r="D865" s="1" t="s">
        <v>361</v>
      </c>
      <c r="E865" s="1" t="s">
        <v>362</v>
      </c>
      <c r="F865" s="1" t="s">
        <v>93</v>
      </c>
      <c r="G865" s="1" t="s">
        <v>27</v>
      </c>
      <c r="H865" s="2">
        <v>45227</v>
      </c>
      <c r="I865" s="1" t="s">
        <v>900</v>
      </c>
      <c r="J865" s="1" t="s">
        <v>901</v>
      </c>
      <c r="K865" s="1" t="s">
        <v>902</v>
      </c>
      <c r="L865" s="1">
        <v>42988.79</v>
      </c>
      <c r="M865" s="1">
        <v>3</v>
      </c>
      <c r="N865" s="1">
        <v>0.2</v>
      </c>
      <c r="O865" s="1">
        <v>103173.1</v>
      </c>
      <c r="P865" s="1">
        <v>11585.4</v>
      </c>
    </row>
    <row r="866" spans="1:16" x14ac:dyDescent="0.3">
      <c r="A866" s="1" t="s">
        <v>814</v>
      </c>
      <c r="B866" s="2">
        <v>45384</v>
      </c>
      <c r="C866" s="2" t="str">
        <f>TEXT(E_Commerce_data[[#This Row],[order_date]],"MMM")</f>
        <v>Apr</v>
      </c>
      <c r="D866" s="1" t="s">
        <v>218</v>
      </c>
      <c r="E866" s="1" t="s">
        <v>219</v>
      </c>
      <c r="F866" s="1" t="s">
        <v>47</v>
      </c>
      <c r="G866" s="1" t="s">
        <v>48</v>
      </c>
      <c r="H866" s="2">
        <v>45241</v>
      </c>
      <c r="I866" s="1" t="s">
        <v>763</v>
      </c>
      <c r="J866" s="1" t="s">
        <v>764</v>
      </c>
      <c r="K866" s="1" t="s">
        <v>560</v>
      </c>
      <c r="L866" s="1">
        <v>11485.64</v>
      </c>
      <c r="M866" s="1">
        <v>4</v>
      </c>
      <c r="N866" s="1">
        <v>0</v>
      </c>
      <c r="O866" s="1">
        <v>45942.559999999998</v>
      </c>
      <c r="P866" s="1">
        <v>14046.69</v>
      </c>
    </row>
    <row r="867" spans="1:16" x14ac:dyDescent="0.3">
      <c r="A867" s="1" t="s">
        <v>1094</v>
      </c>
      <c r="B867" s="2">
        <v>46013</v>
      </c>
      <c r="C867" s="2" t="str">
        <f>TEXT(E_Commerce_data[[#This Row],[order_date]],"MMM")</f>
        <v>Dec</v>
      </c>
      <c r="D867" s="1" t="s">
        <v>96</v>
      </c>
      <c r="E867" s="1" t="s">
        <v>97</v>
      </c>
      <c r="F867" s="1" t="s">
        <v>18</v>
      </c>
      <c r="G867" s="1" t="s">
        <v>19</v>
      </c>
      <c r="H867" s="2">
        <v>45094</v>
      </c>
      <c r="I867" s="1" t="s">
        <v>1034</v>
      </c>
      <c r="J867" s="1" t="s">
        <v>1035</v>
      </c>
      <c r="K867" s="1" t="s">
        <v>902</v>
      </c>
      <c r="L867" s="1">
        <v>11938.33</v>
      </c>
      <c r="M867" s="1">
        <v>2</v>
      </c>
      <c r="N867" s="1">
        <v>0.2</v>
      </c>
      <c r="O867" s="1">
        <v>19101.330000000002</v>
      </c>
      <c r="P867" s="1">
        <v>4886.43</v>
      </c>
    </row>
    <row r="868" spans="1:16" x14ac:dyDescent="0.3">
      <c r="A868" s="1" t="s">
        <v>480</v>
      </c>
      <c r="B868" s="2">
        <v>45627</v>
      </c>
      <c r="C868" s="2" t="str">
        <f>TEXT(E_Commerce_data[[#This Row],[order_date]],"MMM")</f>
        <v>Dec</v>
      </c>
      <c r="D868" s="1" t="s">
        <v>34</v>
      </c>
      <c r="E868" s="1" t="s">
        <v>35</v>
      </c>
      <c r="F868" s="1" t="s">
        <v>36</v>
      </c>
      <c r="G868" s="1" t="s">
        <v>32</v>
      </c>
      <c r="H868" s="2">
        <v>45041</v>
      </c>
      <c r="I868" s="1" t="s">
        <v>420</v>
      </c>
      <c r="J868" s="1" t="s">
        <v>421</v>
      </c>
      <c r="K868" s="1" t="s">
        <v>22</v>
      </c>
      <c r="L868" s="1">
        <v>29436.02</v>
      </c>
      <c r="M868" s="1">
        <v>5</v>
      </c>
      <c r="N868" s="1">
        <v>0</v>
      </c>
      <c r="O868" s="1">
        <v>147180.1</v>
      </c>
      <c r="P868" s="1">
        <v>16853.04</v>
      </c>
    </row>
    <row r="869" spans="1:16" x14ac:dyDescent="0.3">
      <c r="A869" s="1" t="s">
        <v>481</v>
      </c>
      <c r="B869" s="2">
        <v>45656</v>
      </c>
      <c r="C869" s="2" t="str">
        <f>TEXT(E_Commerce_data[[#This Row],[order_date]],"MMM")</f>
        <v>Dec</v>
      </c>
      <c r="D869" s="1" t="s">
        <v>24</v>
      </c>
      <c r="E869" s="1" t="s">
        <v>25</v>
      </c>
      <c r="F869" s="1" t="s">
        <v>26</v>
      </c>
      <c r="G869" s="1" t="s">
        <v>27</v>
      </c>
      <c r="H869" s="2">
        <v>45069</v>
      </c>
      <c r="I869" s="1" t="s">
        <v>420</v>
      </c>
      <c r="J869" s="1" t="s">
        <v>421</v>
      </c>
      <c r="K869" s="1" t="s">
        <v>22</v>
      </c>
      <c r="L869" s="1">
        <v>29436.02</v>
      </c>
      <c r="M869" s="1">
        <v>2</v>
      </c>
      <c r="N869" s="1">
        <v>0</v>
      </c>
      <c r="O869" s="1">
        <v>58872.04</v>
      </c>
      <c r="P869" s="1">
        <v>15503.79</v>
      </c>
    </row>
    <row r="870" spans="1:16" x14ac:dyDescent="0.3">
      <c r="A870" s="1" t="s">
        <v>952</v>
      </c>
      <c r="B870" s="2">
        <v>45598</v>
      </c>
      <c r="C870" s="2" t="str">
        <f>TEXT(E_Commerce_data[[#This Row],[order_date]],"MMM")</f>
        <v>Nov</v>
      </c>
      <c r="D870" s="1" t="s">
        <v>153</v>
      </c>
      <c r="E870" s="1" t="s">
        <v>154</v>
      </c>
      <c r="F870" s="1" t="s">
        <v>43</v>
      </c>
      <c r="G870" s="1" t="s">
        <v>32</v>
      </c>
      <c r="H870" s="2">
        <v>45073</v>
      </c>
      <c r="I870" s="1" t="s">
        <v>900</v>
      </c>
      <c r="J870" s="1" t="s">
        <v>901</v>
      </c>
      <c r="K870" s="1" t="s">
        <v>902</v>
      </c>
      <c r="L870" s="1">
        <v>42988.79</v>
      </c>
      <c r="M870" s="1">
        <v>4</v>
      </c>
      <c r="N870" s="1">
        <v>0.1</v>
      </c>
      <c r="O870" s="1">
        <v>154759.64000000001</v>
      </c>
      <c r="P870" s="1">
        <v>10010.66</v>
      </c>
    </row>
    <row r="871" spans="1:16" x14ac:dyDescent="0.3">
      <c r="A871" s="1" t="s">
        <v>311</v>
      </c>
      <c r="B871" s="2">
        <v>45323</v>
      </c>
      <c r="C871" s="2" t="str">
        <f>TEXT(E_Commerce_data[[#This Row],[order_date]],"MMM")</f>
        <v>Feb</v>
      </c>
      <c r="D871" s="1" t="s">
        <v>206</v>
      </c>
      <c r="E871" s="1" t="s">
        <v>207</v>
      </c>
      <c r="F871" s="1" t="s">
        <v>72</v>
      </c>
      <c r="G871" s="1" t="s">
        <v>48</v>
      </c>
      <c r="H871" s="2">
        <v>45625</v>
      </c>
      <c r="I871" s="1" t="s">
        <v>215</v>
      </c>
      <c r="J871" s="1" t="s">
        <v>216</v>
      </c>
      <c r="K871" s="1" t="s">
        <v>22</v>
      </c>
      <c r="L871" s="1">
        <v>11273.63</v>
      </c>
      <c r="M871" s="1">
        <v>3</v>
      </c>
      <c r="N871" s="1">
        <v>0.2</v>
      </c>
      <c r="O871" s="1">
        <v>27056.71</v>
      </c>
      <c r="P871" s="1">
        <v>9394.17</v>
      </c>
    </row>
    <row r="872" spans="1:16" x14ac:dyDescent="0.3">
      <c r="A872" s="1" t="s">
        <v>482</v>
      </c>
      <c r="B872" s="2">
        <v>45855</v>
      </c>
      <c r="C872" s="2" t="str">
        <f>TEXT(E_Commerce_data[[#This Row],[order_date]],"MMM")</f>
        <v>Jul</v>
      </c>
      <c r="D872" s="1" t="s">
        <v>222</v>
      </c>
      <c r="E872" s="1" t="s">
        <v>223</v>
      </c>
      <c r="F872" s="1" t="s">
        <v>72</v>
      </c>
      <c r="G872" s="1" t="s">
        <v>48</v>
      </c>
      <c r="H872" s="2">
        <v>45014</v>
      </c>
      <c r="I872" s="1" t="s">
        <v>420</v>
      </c>
      <c r="J872" s="1" t="s">
        <v>421</v>
      </c>
      <c r="K872" s="1" t="s">
        <v>22</v>
      </c>
      <c r="L872" s="1">
        <v>29436.02</v>
      </c>
      <c r="M872" s="1">
        <v>4</v>
      </c>
      <c r="N872" s="1">
        <v>0.2</v>
      </c>
      <c r="O872" s="1">
        <v>94195.26</v>
      </c>
      <c r="P872" s="1">
        <v>17488.330000000002</v>
      </c>
    </row>
    <row r="873" spans="1:16" x14ac:dyDescent="0.3">
      <c r="A873" s="1" t="s">
        <v>1095</v>
      </c>
      <c r="B873" s="2">
        <v>45435</v>
      </c>
      <c r="C873" s="2" t="str">
        <f>TEXT(E_Commerce_data[[#This Row],[order_date]],"MMM")</f>
        <v>May</v>
      </c>
      <c r="D873" s="1" t="s">
        <v>50</v>
      </c>
      <c r="E873" s="1" t="s">
        <v>51</v>
      </c>
      <c r="F873" s="1" t="s">
        <v>47</v>
      </c>
      <c r="G873" s="1" t="s">
        <v>48</v>
      </c>
      <c r="H873" s="2">
        <v>45041</v>
      </c>
      <c r="I873" s="1" t="s">
        <v>1034</v>
      </c>
      <c r="J873" s="1" t="s">
        <v>1035</v>
      </c>
      <c r="K873" s="1" t="s">
        <v>902</v>
      </c>
      <c r="L873" s="1">
        <v>11938.33</v>
      </c>
      <c r="M873" s="1">
        <v>2</v>
      </c>
      <c r="N873" s="1">
        <v>0</v>
      </c>
      <c r="O873" s="1">
        <v>23876.66</v>
      </c>
      <c r="P873" s="1">
        <v>4503.45</v>
      </c>
    </row>
    <row r="874" spans="1:16" x14ac:dyDescent="0.3">
      <c r="A874" s="1" t="s">
        <v>624</v>
      </c>
      <c r="B874" s="2">
        <v>45519</v>
      </c>
      <c r="C874" s="2" t="str">
        <f>TEXT(E_Commerce_data[[#This Row],[order_date]],"MMM")</f>
        <v>Aug</v>
      </c>
      <c r="D874" s="1" t="s">
        <v>192</v>
      </c>
      <c r="E874" s="1" t="s">
        <v>193</v>
      </c>
      <c r="F874" s="1" t="s">
        <v>55</v>
      </c>
      <c r="G874" s="1" t="s">
        <v>27</v>
      </c>
      <c r="H874" s="2">
        <v>45448</v>
      </c>
      <c r="I874" s="1" t="s">
        <v>558</v>
      </c>
      <c r="J874" s="1" t="s">
        <v>559</v>
      </c>
      <c r="K874" s="1" t="s">
        <v>560</v>
      </c>
      <c r="L874" s="1">
        <v>11049.86</v>
      </c>
      <c r="M874" s="1">
        <v>1</v>
      </c>
      <c r="N874" s="1">
        <v>0</v>
      </c>
      <c r="O874" s="1">
        <v>11049.86</v>
      </c>
      <c r="P874" s="1">
        <v>756.92</v>
      </c>
    </row>
    <row r="875" spans="1:16" x14ac:dyDescent="0.3">
      <c r="A875" s="1" t="s">
        <v>407</v>
      </c>
      <c r="B875" s="2">
        <v>45673</v>
      </c>
      <c r="C875" s="2" t="str">
        <f>TEXT(E_Commerce_data[[#This Row],[order_date]],"MMM")</f>
        <v>Jan</v>
      </c>
      <c r="D875" s="1" t="s">
        <v>139</v>
      </c>
      <c r="E875" s="1" t="s">
        <v>140</v>
      </c>
      <c r="F875" s="1" t="s">
        <v>47</v>
      </c>
      <c r="G875" s="1" t="s">
        <v>48</v>
      </c>
      <c r="H875" s="2">
        <v>44984</v>
      </c>
      <c r="I875" s="1" t="s">
        <v>315</v>
      </c>
      <c r="J875" s="1" t="s">
        <v>316</v>
      </c>
      <c r="K875" s="1" t="s">
        <v>22</v>
      </c>
      <c r="L875" s="1">
        <v>16937.37</v>
      </c>
      <c r="M875" s="1">
        <v>2</v>
      </c>
      <c r="N875" s="1">
        <v>0</v>
      </c>
      <c r="O875" s="1">
        <v>33874.74</v>
      </c>
      <c r="P875" s="1">
        <v>10064.25</v>
      </c>
    </row>
    <row r="876" spans="1:16" x14ac:dyDescent="0.3">
      <c r="A876" s="1" t="s">
        <v>1246</v>
      </c>
      <c r="B876" s="2">
        <v>45368</v>
      </c>
      <c r="C876" s="2" t="str">
        <f>TEXT(E_Commerce_data[[#This Row],[order_date]],"MMM")</f>
        <v>Mar</v>
      </c>
      <c r="D876" s="1" t="s">
        <v>135</v>
      </c>
      <c r="E876" s="1" t="s">
        <v>136</v>
      </c>
      <c r="F876" s="1" t="s">
        <v>31</v>
      </c>
      <c r="G876" s="1" t="s">
        <v>32</v>
      </c>
      <c r="H876" s="2">
        <v>45537</v>
      </c>
      <c r="I876" s="1" t="s">
        <v>1162</v>
      </c>
      <c r="J876" s="1" t="s">
        <v>1163</v>
      </c>
      <c r="K876" s="1" t="s">
        <v>902</v>
      </c>
      <c r="L876" s="1">
        <v>10751.13</v>
      </c>
      <c r="M876" s="1">
        <v>1</v>
      </c>
      <c r="N876" s="1">
        <v>0.1</v>
      </c>
      <c r="O876" s="1">
        <v>9676.02</v>
      </c>
      <c r="P876" s="1">
        <v>2185.19</v>
      </c>
    </row>
    <row r="877" spans="1:16" x14ac:dyDescent="0.3">
      <c r="A877" s="1" t="s">
        <v>546</v>
      </c>
      <c r="B877" s="2">
        <v>45953</v>
      </c>
      <c r="C877" s="2" t="str">
        <f>TEXT(E_Commerce_data[[#This Row],[order_date]],"MMM")</f>
        <v>Oct</v>
      </c>
      <c r="D877" s="1" t="s">
        <v>514</v>
      </c>
      <c r="E877" s="1" t="s">
        <v>515</v>
      </c>
      <c r="F877" s="1" t="s">
        <v>18</v>
      </c>
      <c r="G877" s="1" t="s">
        <v>19</v>
      </c>
      <c r="H877" s="2">
        <v>45386</v>
      </c>
      <c r="I877" s="1" t="s">
        <v>489</v>
      </c>
      <c r="J877" s="1" t="s">
        <v>490</v>
      </c>
      <c r="K877" s="1" t="s">
        <v>22</v>
      </c>
      <c r="L877" s="1">
        <v>11544.23</v>
      </c>
      <c r="M877" s="1">
        <v>1</v>
      </c>
      <c r="N877" s="1">
        <v>0</v>
      </c>
      <c r="O877" s="1">
        <v>11544.23</v>
      </c>
      <c r="P877" s="1">
        <v>1262.07</v>
      </c>
    </row>
    <row r="878" spans="1:16" x14ac:dyDescent="0.3">
      <c r="A878" s="1" t="s">
        <v>547</v>
      </c>
      <c r="B878" s="2">
        <v>45631</v>
      </c>
      <c r="C878" s="2" t="str">
        <f>TEXT(E_Commerce_data[[#This Row],[order_date]],"MMM")</f>
        <v>Dec</v>
      </c>
      <c r="D878" s="1" t="s">
        <v>206</v>
      </c>
      <c r="E878" s="1" t="s">
        <v>207</v>
      </c>
      <c r="F878" s="1" t="s">
        <v>72</v>
      </c>
      <c r="G878" s="1" t="s">
        <v>48</v>
      </c>
      <c r="H878" s="2">
        <v>45625</v>
      </c>
      <c r="I878" s="1" t="s">
        <v>489</v>
      </c>
      <c r="J878" s="1" t="s">
        <v>490</v>
      </c>
      <c r="K878" s="1" t="s">
        <v>22</v>
      </c>
      <c r="L878" s="1">
        <v>11544.23</v>
      </c>
      <c r="M878" s="1">
        <v>4</v>
      </c>
      <c r="N878" s="1">
        <v>0.2</v>
      </c>
      <c r="O878" s="1">
        <v>36941.54</v>
      </c>
      <c r="P878" s="1">
        <v>3274.4</v>
      </c>
    </row>
    <row r="879" spans="1:16" x14ac:dyDescent="0.3">
      <c r="A879" s="1" t="s">
        <v>889</v>
      </c>
      <c r="B879" s="2">
        <v>45343</v>
      </c>
      <c r="C879" s="2" t="str">
        <f>TEXT(E_Commerce_data[[#This Row],[order_date]],"MMM")</f>
        <v>Feb</v>
      </c>
      <c r="D879" s="1" t="s">
        <v>287</v>
      </c>
      <c r="E879" s="1" t="s">
        <v>288</v>
      </c>
      <c r="F879" s="1" t="s">
        <v>18</v>
      </c>
      <c r="G879" s="1" t="s">
        <v>19</v>
      </c>
      <c r="H879" s="2">
        <v>44959</v>
      </c>
      <c r="I879" s="1" t="s">
        <v>822</v>
      </c>
      <c r="J879" s="1" t="s">
        <v>823</v>
      </c>
      <c r="K879" s="1" t="s">
        <v>560</v>
      </c>
      <c r="L879" s="1">
        <v>45275.73</v>
      </c>
      <c r="M879" s="1">
        <v>1</v>
      </c>
      <c r="N879" s="1">
        <v>0</v>
      </c>
      <c r="O879" s="1">
        <v>45275.73</v>
      </c>
      <c r="P879" s="1">
        <v>15062.52</v>
      </c>
    </row>
    <row r="880" spans="1:16" x14ac:dyDescent="0.3">
      <c r="A880" s="1" t="s">
        <v>408</v>
      </c>
      <c r="B880" s="2">
        <v>45696</v>
      </c>
      <c r="C880" s="2" t="str">
        <f>TEXT(E_Commerce_data[[#This Row],[order_date]],"MMM")</f>
        <v>Feb</v>
      </c>
      <c r="D880" s="1" t="s">
        <v>109</v>
      </c>
      <c r="E880" s="1" t="s">
        <v>110</v>
      </c>
      <c r="F880" s="1" t="s">
        <v>31</v>
      </c>
      <c r="G880" s="1" t="s">
        <v>32</v>
      </c>
      <c r="H880" s="2">
        <v>45026</v>
      </c>
      <c r="I880" s="1" t="s">
        <v>315</v>
      </c>
      <c r="J880" s="1" t="s">
        <v>316</v>
      </c>
      <c r="K880" s="1" t="s">
        <v>22</v>
      </c>
      <c r="L880" s="1">
        <v>16937.37</v>
      </c>
      <c r="M880" s="1">
        <v>2</v>
      </c>
      <c r="N880" s="1">
        <v>0.1</v>
      </c>
      <c r="O880" s="1">
        <v>30487.27</v>
      </c>
      <c r="P880" s="1">
        <v>5486.09</v>
      </c>
    </row>
    <row r="881" spans="1:16" x14ac:dyDescent="0.3">
      <c r="A881" s="1" t="s">
        <v>696</v>
      </c>
      <c r="B881" s="2">
        <v>45728</v>
      </c>
      <c r="C881" s="2" t="str">
        <f>TEXT(E_Commerce_data[[#This Row],[order_date]],"MMM")</f>
        <v>Mar</v>
      </c>
      <c r="D881" s="1" t="s">
        <v>34</v>
      </c>
      <c r="E881" s="1" t="s">
        <v>35</v>
      </c>
      <c r="F881" s="1" t="s">
        <v>36</v>
      </c>
      <c r="G881" s="1" t="s">
        <v>32</v>
      </c>
      <c r="H881" s="2">
        <v>45041</v>
      </c>
      <c r="I881" s="1" t="s">
        <v>633</v>
      </c>
      <c r="J881" s="1" t="s">
        <v>634</v>
      </c>
      <c r="K881" s="1" t="s">
        <v>560</v>
      </c>
      <c r="L881" s="1">
        <v>3596.1</v>
      </c>
      <c r="M881" s="1">
        <v>4</v>
      </c>
      <c r="N881" s="1">
        <v>0</v>
      </c>
      <c r="O881" s="1">
        <v>14384.4</v>
      </c>
      <c r="P881" s="1">
        <v>2370.8200000000002</v>
      </c>
    </row>
    <row r="882" spans="1:16" x14ac:dyDescent="0.3">
      <c r="A882" s="1" t="s">
        <v>815</v>
      </c>
      <c r="B882" s="2">
        <v>45483</v>
      </c>
      <c r="C882" s="2" t="str">
        <f>TEXT(E_Commerce_data[[#This Row],[order_date]],"MMM")</f>
        <v>Jul</v>
      </c>
      <c r="D882" s="1" t="s">
        <v>112</v>
      </c>
      <c r="E882" s="1" t="s">
        <v>113</v>
      </c>
      <c r="F882" s="1" t="s">
        <v>55</v>
      </c>
      <c r="G882" s="1" t="s">
        <v>27</v>
      </c>
      <c r="H882" s="2">
        <v>45602</v>
      </c>
      <c r="I882" s="1" t="s">
        <v>763</v>
      </c>
      <c r="J882" s="1" t="s">
        <v>764</v>
      </c>
      <c r="K882" s="1" t="s">
        <v>560</v>
      </c>
      <c r="L882" s="1">
        <v>11485.64</v>
      </c>
      <c r="M882" s="1">
        <v>2</v>
      </c>
      <c r="N882" s="1">
        <v>0</v>
      </c>
      <c r="O882" s="1">
        <v>22971.279999999999</v>
      </c>
      <c r="P882" s="1">
        <v>2628.26</v>
      </c>
    </row>
    <row r="883" spans="1:16" x14ac:dyDescent="0.3">
      <c r="A883" s="1" t="s">
        <v>409</v>
      </c>
      <c r="B883" s="2">
        <v>45444</v>
      </c>
      <c r="C883" s="2" t="str">
        <f>TEXT(E_Commerce_data[[#This Row],[order_date]],"MMM")</f>
        <v>Jun</v>
      </c>
      <c r="D883" s="1" t="s">
        <v>85</v>
      </c>
      <c r="E883" s="1" t="s">
        <v>86</v>
      </c>
      <c r="F883" s="1" t="s">
        <v>36</v>
      </c>
      <c r="G883" s="1" t="s">
        <v>32</v>
      </c>
      <c r="H883" s="2">
        <v>44957</v>
      </c>
      <c r="I883" s="1" t="s">
        <v>315</v>
      </c>
      <c r="J883" s="1" t="s">
        <v>316</v>
      </c>
      <c r="K883" s="1" t="s">
        <v>22</v>
      </c>
      <c r="L883" s="1">
        <v>16937.37</v>
      </c>
      <c r="M883" s="1">
        <v>3</v>
      </c>
      <c r="N883" s="1">
        <v>0</v>
      </c>
      <c r="O883" s="1">
        <v>50812.11</v>
      </c>
      <c r="P883" s="1">
        <v>9339.44</v>
      </c>
    </row>
    <row r="884" spans="1:16" x14ac:dyDescent="0.3">
      <c r="A884" s="1" t="s">
        <v>1247</v>
      </c>
      <c r="B884" s="2">
        <v>45543</v>
      </c>
      <c r="C884" s="2" t="str">
        <f>TEXT(E_Commerce_data[[#This Row],[order_date]],"MMM")</f>
        <v>Sep</v>
      </c>
      <c r="D884" s="1" t="s">
        <v>34</v>
      </c>
      <c r="E884" s="1" t="s">
        <v>35</v>
      </c>
      <c r="F884" s="1" t="s">
        <v>36</v>
      </c>
      <c r="G884" s="1" t="s">
        <v>32</v>
      </c>
      <c r="H884" s="2">
        <v>45041</v>
      </c>
      <c r="I884" s="1" t="s">
        <v>1162</v>
      </c>
      <c r="J884" s="1" t="s">
        <v>1163</v>
      </c>
      <c r="K884" s="1" t="s">
        <v>902</v>
      </c>
      <c r="L884" s="1">
        <v>10751.13</v>
      </c>
      <c r="M884" s="1">
        <v>1</v>
      </c>
      <c r="N884" s="1">
        <v>0.1</v>
      </c>
      <c r="O884" s="1">
        <v>9676.02</v>
      </c>
      <c r="P884" s="1">
        <v>2281.15</v>
      </c>
    </row>
    <row r="885" spans="1:16" x14ac:dyDescent="0.3">
      <c r="A885" s="1" t="s">
        <v>191</v>
      </c>
      <c r="B885" s="2">
        <v>45855</v>
      </c>
      <c r="C885" s="2" t="str">
        <f>TEXT(E_Commerce_data[[#This Row],[order_date]],"MMM")</f>
        <v>Jul</v>
      </c>
      <c r="D885" s="1" t="s">
        <v>192</v>
      </c>
      <c r="E885" s="1" t="s">
        <v>193</v>
      </c>
      <c r="F885" s="1" t="s">
        <v>55</v>
      </c>
      <c r="G885" s="1" t="s">
        <v>27</v>
      </c>
      <c r="H885" s="2">
        <v>45448</v>
      </c>
      <c r="I885" s="1" t="s">
        <v>20</v>
      </c>
      <c r="J885" s="1" t="s">
        <v>21</v>
      </c>
      <c r="K885" s="1" t="s">
        <v>22</v>
      </c>
      <c r="L885" s="1">
        <v>6094.16</v>
      </c>
      <c r="M885" s="1">
        <v>3</v>
      </c>
      <c r="N885" s="1">
        <v>0.05</v>
      </c>
      <c r="O885" s="1">
        <v>17368.36</v>
      </c>
      <c r="P885" s="1">
        <v>3015.11</v>
      </c>
    </row>
    <row r="886" spans="1:16" x14ac:dyDescent="0.3">
      <c r="A886" s="1" t="s">
        <v>410</v>
      </c>
      <c r="B886" s="2">
        <v>45684</v>
      </c>
      <c r="C886" s="2" t="str">
        <f>TEXT(E_Commerce_data[[#This Row],[order_date]],"MMM")</f>
        <v>Jan</v>
      </c>
      <c r="D886" s="1" t="s">
        <v>269</v>
      </c>
      <c r="E886" s="1" t="s">
        <v>270</v>
      </c>
      <c r="F886" s="1" t="s">
        <v>18</v>
      </c>
      <c r="G886" s="1" t="s">
        <v>19</v>
      </c>
      <c r="H886" s="2">
        <v>45271</v>
      </c>
      <c r="I886" s="1" t="s">
        <v>315</v>
      </c>
      <c r="J886" s="1" t="s">
        <v>316</v>
      </c>
      <c r="K886" s="1" t="s">
        <v>22</v>
      </c>
      <c r="L886" s="1">
        <v>16937.37</v>
      </c>
      <c r="M886" s="1">
        <v>4</v>
      </c>
      <c r="N886" s="1">
        <v>0</v>
      </c>
      <c r="O886" s="1">
        <v>67749.48</v>
      </c>
      <c r="P886" s="1">
        <v>5170.3999999999996</v>
      </c>
    </row>
    <row r="887" spans="1:16" x14ac:dyDescent="0.3">
      <c r="A887" s="1" t="s">
        <v>890</v>
      </c>
      <c r="B887" s="2">
        <v>45830</v>
      </c>
      <c r="C887" s="2" t="str">
        <f>TEXT(E_Commerce_data[[#This Row],[order_date]],"MMM")</f>
        <v>Jun</v>
      </c>
      <c r="D887" s="1" t="s">
        <v>96</v>
      </c>
      <c r="E887" s="1" t="s">
        <v>97</v>
      </c>
      <c r="F887" s="1" t="s">
        <v>18</v>
      </c>
      <c r="G887" s="1" t="s">
        <v>19</v>
      </c>
      <c r="H887" s="2">
        <v>45094</v>
      </c>
      <c r="I887" s="1" t="s">
        <v>822</v>
      </c>
      <c r="J887" s="1" t="s">
        <v>823</v>
      </c>
      <c r="K887" s="1" t="s">
        <v>560</v>
      </c>
      <c r="L887" s="1">
        <v>45275.73</v>
      </c>
      <c r="M887" s="1">
        <v>2</v>
      </c>
      <c r="N887" s="1">
        <v>0.05</v>
      </c>
      <c r="O887" s="1">
        <v>86023.89</v>
      </c>
      <c r="P887" s="1">
        <v>9448.64</v>
      </c>
    </row>
    <row r="888" spans="1:16" x14ac:dyDescent="0.3">
      <c r="A888" s="1" t="s">
        <v>1024</v>
      </c>
      <c r="B888" s="2">
        <v>45848</v>
      </c>
      <c r="C888" s="2" t="str">
        <f>TEXT(E_Commerce_data[[#This Row],[order_date]],"MMM")</f>
        <v>Jul</v>
      </c>
      <c r="D888" s="1" t="s">
        <v>366</v>
      </c>
      <c r="E888" s="1" t="s">
        <v>367</v>
      </c>
      <c r="F888" s="1" t="s">
        <v>47</v>
      </c>
      <c r="G888" s="1" t="s">
        <v>48</v>
      </c>
      <c r="H888" s="2">
        <v>45144</v>
      </c>
      <c r="I888" s="1" t="s">
        <v>964</v>
      </c>
      <c r="J888" s="1" t="s">
        <v>965</v>
      </c>
      <c r="K888" s="1" t="s">
        <v>902</v>
      </c>
      <c r="L888" s="1">
        <v>3589.32</v>
      </c>
      <c r="M888" s="1">
        <v>2</v>
      </c>
      <c r="N888" s="1">
        <v>0.15</v>
      </c>
      <c r="O888" s="1">
        <v>6101.84</v>
      </c>
      <c r="P888" s="1">
        <v>2124.8200000000002</v>
      </c>
    </row>
    <row r="889" spans="1:16" x14ac:dyDescent="0.3">
      <c r="A889" s="1" t="s">
        <v>1025</v>
      </c>
      <c r="B889" s="2">
        <v>45659</v>
      </c>
      <c r="C889" s="2" t="str">
        <f>TEXT(E_Commerce_data[[#This Row],[order_date]],"MMM")</f>
        <v>Jan</v>
      </c>
      <c r="D889" s="1" t="s">
        <v>564</v>
      </c>
      <c r="E889" s="1" t="s">
        <v>565</v>
      </c>
      <c r="F889" s="1" t="s">
        <v>55</v>
      </c>
      <c r="G889" s="1" t="s">
        <v>27</v>
      </c>
      <c r="H889" s="2">
        <v>45569</v>
      </c>
      <c r="I889" s="1" t="s">
        <v>964</v>
      </c>
      <c r="J889" s="1" t="s">
        <v>965</v>
      </c>
      <c r="K889" s="1" t="s">
        <v>902</v>
      </c>
      <c r="L889" s="1">
        <v>3589.32</v>
      </c>
      <c r="M889" s="1">
        <v>1</v>
      </c>
      <c r="N889" s="1">
        <v>0.05</v>
      </c>
      <c r="O889" s="1">
        <v>3409.85</v>
      </c>
      <c r="P889" s="1">
        <v>970.36</v>
      </c>
    </row>
    <row r="890" spans="1:16" x14ac:dyDescent="0.3">
      <c r="A890" s="1" t="s">
        <v>891</v>
      </c>
      <c r="B890" s="2">
        <v>45644</v>
      </c>
      <c r="C890" s="2" t="str">
        <f>TEXT(E_Commerce_data[[#This Row],[order_date]],"MMM")</f>
        <v>Dec</v>
      </c>
      <c r="D890" s="1" t="s">
        <v>189</v>
      </c>
      <c r="E890" s="1" t="s">
        <v>190</v>
      </c>
      <c r="F890" s="1" t="s">
        <v>26</v>
      </c>
      <c r="G890" s="1" t="s">
        <v>27</v>
      </c>
      <c r="H890" s="2">
        <v>45645</v>
      </c>
      <c r="I890" s="1" t="s">
        <v>822</v>
      </c>
      <c r="J890" s="1" t="s">
        <v>823</v>
      </c>
      <c r="K890" s="1" t="s">
        <v>560</v>
      </c>
      <c r="L890" s="1">
        <v>45275.73</v>
      </c>
      <c r="M890" s="1">
        <v>4</v>
      </c>
      <c r="N890" s="1">
        <v>0.1</v>
      </c>
      <c r="O890" s="1">
        <v>162992.63</v>
      </c>
      <c r="P890" s="1">
        <v>46360.08</v>
      </c>
    </row>
    <row r="891" spans="1:16" x14ac:dyDescent="0.3">
      <c r="A891" s="1" t="s">
        <v>1248</v>
      </c>
      <c r="B891" s="2">
        <v>45568</v>
      </c>
      <c r="C891" s="2" t="str">
        <f>TEXT(E_Commerce_data[[#This Row],[order_date]],"MMM")</f>
        <v>Oct</v>
      </c>
      <c r="D891" s="1" t="s">
        <v>212</v>
      </c>
      <c r="E891" s="1" t="s">
        <v>213</v>
      </c>
      <c r="F891" s="1" t="s">
        <v>18</v>
      </c>
      <c r="G891" s="1" t="s">
        <v>19</v>
      </c>
      <c r="H891" s="2">
        <v>45613</v>
      </c>
      <c r="I891" s="1" t="s">
        <v>1162</v>
      </c>
      <c r="J891" s="1" t="s">
        <v>1163</v>
      </c>
      <c r="K891" s="1" t="s">
        <v>902</v>
      </c>
      <c r="L891" s="1">
        <v>10751.13</v>
      </c>
      <c r="M891" s="1">
        <v>5</v>
      </c>
      <c r="N891" s="1">
        <v>0.1</v>
      </c>
      <c r="O891" s="1">
        <v>48380.08</v>
      </c>
      <c r="P891" s="1">
        <v>7086.78</v>
      </c>
    </row>
    <row r="892" spans="1:16" x14ac:dyDescent="0.3">
      <c r="A892" s="1" t="s">
        <v>194</v>
      </c>
      <c r="B892" s="2">
        <v>45516</v>
      </c>
      <c r="C892" s="2" t="str">
        <f>TEXT(E_Commerce_data[[#This Row],[order_date]],"MMM")</f>
        <v>Aug</v>
      </c>
      <c r="D892" s="1" t="s">
        <v>195</v>
      </c>
      <c r="E892" s="1" t="s">
        <v>196</v>
      </c>
      <c r="F892" s="1" t="s">
        <v>72</v>
      </c>
      <c r="G892" s="1" t="s">
        <v>48</v>
      </c>
      <c r="H892" s="2">
        <v>45165</v>
      </c>
      <c r="I892" s="1" t="s">
        <v>20</v>
      </c>
      <c r="J892" s="1" t="s">
        <v>21</v>
      </c>
      <c r="K892" s="1" t="s">
        <v>22</v>
      </c>
      <c r="L892" s="1">
        <v>6094.16</v>
      </c>
      <c r="M892" s="1">
        <v>2</v>
      </c>
      <c r="N892" s="1">
        <v>0</v>
      </c>
      <c r="O892" s="1">
        <v>12188.32</v>
      </c>
      <c r="P892" s="1">
        <v>1775.39</v>
      </c>
    </row>
    <row r="893" spans="1:16" x14ac:dyDescent="0.3">
      <c r="A893" s="1" t="s">
        <v>697</v>
      </c>
      <c r="B893" s="2">
        <v>45351</v>
      </c>
      <c r="C893" s="2" t="str">
        <f>TEXT(E_Commerce_data[[#This Row],[order_date]],"MMM")</f>
        <v>Feb</v>
      </c>
      <c r="D893" s="1" t="s">
        <v>203</v>
      </c>
      <c r="E893" s="1" t="s">
        <v>204</v>
      </c>
      <c r="F893" s="1" t="s">
        <v>76</v>
      </c>
      <c r="G893" s="1" t="s">
        <v>32</v>
      </c>
      <c r="H893" s="2">
        <v>45297</v>
      </c>
      <c r="I893" s="1" t="s">
        <v>633</v>
      </c>
      <c r="J893" s="1" t="s">
        <v>634</v>
      </c>
      <c r="K893" s="1" t="s">
        <v>560</v>
      </c>
      <c r="L893" s="1">
        <v>3596.1</v>
      </c>
      <c r="M893" s="1">
        <v>1</v>
      </c>
      <c r="N893" s="1">
        <v>0.2</v>
      </c>
      <c r="O893" s="1">
        <v>2876.88</v>
      </c>
      <c r="P893" s="1">
        <v>815.77</v>
      </c>
    </row>
    <row r="894" spans="1:16" x14ac:dyDescent="0.3">
      <c r="A894" s="1" t="s">
        <v>625</v>
      </c>
      <c r="B894" s="2">
        <v>45890</v>
      </c>
      <c r="C894" s="2" t="str">
        <f>TEXT(E_Commerce_data[[#This Row],[order_date]],"MMM")</f>
        <v>Aug</v>
      </c>
      <c r="D894" s="1" t="s">
        <v>248</v>
      </c>
      <c r="E894" s="1" t="s">
        <v>249</v>
      </c>
      <c r="F894" s="1" t="s">
        <v>72</v>
      </c>
      <c r="G894" s="1" t="s">
        <v>48</v>
      </c>
      <c r="H894" s="2">
        <v>45619</v>
      </c>
      <c r="I894" s="1" t="s">
        <v>558</v>
      </c>
      <c r="J894" s="1" t="s">
        <v>559</v>
      </c>
      <c r="K894" s="1" t="s">
        <v>560</v>
      </c>
      <c r="L894" s="1">
        <v>11049.86</v>
      </c>
      <c r="M894" s="1">
        <v>4</v>
      </c>
      <c r="N894" s="1">
        <v>0.1</v>
      </c>
      <c r="O894" s="1">
        <v>39779.5</v>
      </c>
      <c r="P894" s="1">
        <v>6254.53</v>
      </c>
    </row>
    <row r="895" spans="1:16" x14ac:dyDescent="0.3">
      <c r="A895" s="1" t="s">
        <v>548</v>
      </c>
      <c r="B895" s="2">
        <v>45964</v>
      </c>
      <c r="C895" s="2" t="str">
        <f>TEXT(E_Commerce_data[[#This Row],[order_date]],"MMM")</f>
        <v>Nov</v>
      </c>
      <c r="D895" s="1" t="s">
        <v>109</v>
      </c>
      <c r="E895" s="1" t="s">
        <v>110</v>
      </c>
      <c r="F895" s="1" t="s">
        <v>31</v>
      </c>
      <c r="G895" s="1" t="s">
        <v>32</v>
      </c>
      <c r="H895" s="2">
        <v>45026</v>
      </c>
      <c r="I895" s="1" t="s">
        <v>489</v>
      </c>
      <c r="J895" s="1" t="s">
        <v>490</v>
      </c>
      <c r="K895" s="1" t="s">
        <v>22</v>
      </c>
      <c r="L895" s="1">
        <v>11544.23</v>
      </c>
      <c r="M895" s="1">
        <v>2</v>
      </c>
      <c r="N895" s="1">
        <v>0</v>
      </c>
      <c r="O895" s="1">
        <v>23088.46</v>
      </c>
      <c r="P895" s="1">
        <v>1848.01</v>
      </c>
    </row>
    <row r="896" spans="1:16" x14ac:dyDescent="0.3">
      <c r="A896" s="1" t="s">
        <v>197</v>
      </c>
      <c r="B896" s="2">
        <v>45349</v>
      </c>
      <c r="C896" s="2" t="str">
        <f>TEXT(E_Commerce_data[[#This Row],[order_date]],"MMM")</f>
        <v>Feb</v>
      </c>
      <c r="D896" s="1" t="s">
        <v>135</v>
      </c>
      <c r="E896" s="1" t="s">
        <v>136</v>
      </c>
      <c r="F896" s="1" t="s">
        <v>31</v>
      </c>
      <c r="G896" s="1" t="s">
        <v>32</v>
      </c>
      <c r="H896" s="2">
        <v>45537</v>
      </c>
      <c r="I896" s="1" t="s">
        <v>20</v>
      </c>
      <c r="J896" s="1" t="s">
        <v>21</v>
      </c>
      <c r="K896" s="1" t="s">
        <v>22</v>
      </c>
      <c r="L896" s="1">
        <v>6094.16</v>
      </c>
      <c r="M896" s="1">
        <v>2</v>
      </c>
      <c r="N896" s="1">
        <v>0</v>
      </c>
      <c r="O896" s="1">
        <v>12188.32</v>
      </c>
      <c r="P896" s="1">
        <v>2560.85</v>
      </c>
    </row>
    <row r="897" spans="1:16" x14ac:dyDescent="0.3">
      <c r="A897" s="1" t="s">
        <v>1026</v>
      </c>
      <c r="B897" s="2">
        <v>45689</v>
      </c>
      <c r="C897" s="2" t="str">
        <f>TEXT(E_Commerce_data[[#This Row],[order_date]],"MMM")</f>
        <v>Feb</v>
      </c>
      <c r="D897" s="1" t="s">
        <v>269</v>
      </c>
      <c r="E897" s="1" t="s">
        <v>270</v>
      </c>
      <c r="F897" s="1" t="s">
        <v>18</v>
      </c>
      <c r="G897" s="1" t="s">
        <v>19</v>
      </c>
      <c r="H897" s="2">
        <v>45271</v>
      </c>
      <c r="I897" s="1" t="s">
        <v>964</v>
      </c>
      <c r="J897" s="1" t="s">
        <v>965</v>
      </c>
      <c r="K897" s="1" t="s">
        <v>902</v>
      </c>
      <c r="L897" s="1">
        <v>3589.32</v>
      </c>
      <c r="M897" s="1">
        <v>2</v>
      </c>
      <c r="N897" s="1">
        <v>0.1</v>
      </c>
      <c r="O897" s="1">
        <v>6460.78</v>
      </c>
      <c r="P897" s="1">
        <v>1963.76</v>
      </c>
    </row>
    <row r="898" spans="1:16" x14ac:dyDescent="0.3">
      <c r="A898" s="1" t="s">
        <v>549</v>
      </c>
      <c r="B898" s="2">
        <v>45469</v>
      </c>
      <c r="C898" s="2" t="str">
        <f>TEXT(E_Commerce_data[[#This Row],[order_date]],"MMM")</f>
        <v>Jun</v>
      </c>
      <c r="D898" s="1" t="s">
        <v>263</v>
      </c>
      <c r="E898" s="1" t="s">
        <v>264</v>
      </c>
      <c r="F898" s="1" t="s">
        <v>36</v>
      </c>
      <c r="G898" s="1" t="s">
        <v>32</v>
      </c>
      <c r="H898" s="2">
        <v>45397</v>
      </c>
      <c r="I898" s="1" t="s">
        <v>489</v>
      </c>
      <c r="J898" s="1" t="s">
        <v>490</v>
      </c>
      <c r="K898" s="1" t="s">
        <v>22</v>
      </c>
      <c r="L898" s="1">
        <v>11544.23</v>
      </c>
      <c r="M898" s="1">
        <v>3</v>
      </c>
      <c r="N898" s="1">
        <v>0.2</v>
      </c>
      <c r="O898" s="1">
        <v>27706.15</v>
      </c>
      <c r="P898" s="1">
        <v>9626.85</v>
      </c>
    </row>
    <row r="899" spans="1:16" x14ac:dyDescent="0.3">
      <c r="A899" s="1" t="s">
        <v>198</v>
      </c>
      <c r="B899" s="2">
        <v>46006</v>
      </c>
      <c r="C899" s="2" t="str">
        <f>TEXT(E_Commerce_data[[#This Row],[order_date]],"MMM")</f>
        <v>Dec</v>
      </c>
      <c r="D899" s="1" t="s">
        <v>199</v>
      </c>
      <c r="E899" s="1" t="s">
        <v>200</v>
      </c>
      <c r="F899" s="1" t="s">
        <v>36</v>
      </c>
      <c r="G899" s="1" t="s">
        <v>32</v>
      </c>
      <c r="H899" s="2">
        <v>45196</v>
      </c>
      <c r="I899" s="1" t="s">
        <v>20</v>
      </c>
      <c r="J899" s="1" t="s">
        <v>21</v>
      </c>
      <c r="K899" s="1" t="s">
        <v>22</v>
      </c>
      <c r="L899" s="1">
        <v>6094.16</v>
      </c>
      <c r="M899" s="1">
        <v>2</v>
      </c>
      <c r="N899" s="1">
        <v>0</v>
      </c>
      <c r="O899" s="1">
        <v>12188.32</v>
      </c>
      <c r="P899" s="1">
        <v>2775.96</v>
      </c>
    </row>
    <row r="900" spans="1:16" x14ac:dyDescent="0.3">
      <c r="A900" s="1" t="s">
        <v>1249</v>
      </c>
      <c r="B900" s="2">
        <v>46009</v>
      </c>
      <c r="C900" s="2" t="str">
        <f>TEXT(E_Commerce_data[[#This Row],[order_date]],"MMM")</f>
        <v>Dec</v>
      </c>
      <c r="D900" s="1" t="s">
        <v>361</v>
      </c>
      <c r="E900" s="1" t="s">
        <v>362</v>
      </c>
      <c r="F900" s="1" t="s">
        <v>93</v>
      </c>
      <c r="G900" s="1" t="s">
        <v>27</v>
      </c>
      <c r="H900" s="2">
        <v>45227</v>
      </c>
      <c r="I900" s="1" t="s">
        <v>1162</v>
      </c>
      <c r="J900" s="1" t="s">
        <v>1163</v>
      </c>
      <c r="K900" s="1" t="s">
        <v>902</v>
      </c>
      <c r="L900" s="1">
        <v>10751.13</v>
      </c>
      <c r="M900" s="1">
        <v>3</v>
      </c>
      <c r="N900" s="1">
        <v>0.1</v>
      </c>
      <c r="O900" s="1">
        <v>29028.05</v>
      </c>
      <c r="P900" s="1">
        <v>1697.04</v>
      </c>
    </row>
    <row r="901" spans="1:16" x14ac:dyDescent="0.3">
      <c r="A901" s="1" t="s">
        <v>1096</v>
      </c>
      <c r="B901" s="2">
        <v>45868</v>
      </c>
      <c r="C901" s="2" t="str">
        <f>TEXT(E_Commerce_data[[#This Row],[order_date]],"MMM")</f>
        <v>Jul</v>
      </c>
      <c r="D901" s="1" t="s">
        <v>206</v>
      </c>
      <c r="E901" s="1" t="s">
        <v>207</v>
      </c>
      <c r="F901" s="1" t="s">
        <v>72</v>
      </c>
      <c r="G901" s="1" t="s">
        <v>48</v>
      </c>
      <c r="H901" s="2">
        <v>45625</v>
      </c>
      <c r="I901" s="1" t="s">
        <v>1034</v>
      </c>
      <c r="J901" s="1" t="s">
        <v>1035</v>
      </c>
      <c r="K901" s="1" t="s">
        <v>902</v>
      </c>
      <c r="L901" s="1">
        <v>11938.33</v>
      </c>
      <c r="M901" s="1">
        <v>3</v>
      </c>
      <c r="N901" s="1">
        <v>0.1</v>
      </c>
      <c r="O901" s="1">
        <v>32233.49</v>
      </c>
      <c r="P901" s="1">
        <v>7061.78</v>
      </c>
    </row>
    <row r="902" spans="1:16" x14ac:dyDescent="0.3">
      <c r="A902" s="1" t="s">
        <v>550</v>
      </c>
      <c r="B902" s="2">
        <v>45796</v>
      </c>
      <c r="C902" s="2" t="str">
        <f>TEXT(E_Commerce_data[[#This Row],[order_date]],"MMM")</f>
        <v>May</v>
      </c>
      <c r="D902" s="1" t="s">
        <v>150</v>
      </c>
      <c r="E902" s="1" t="s">
        <v>151</v>
      </c>
      <c r="F902" s="1" t="s">
        <v>93</v>
      </c>
      <c r="G902" s="1" t="s">
        <v>27</v>
      </c>
      <c r="H902" s="2">
        <v>45470</v>
      </c>
      <c r="I902" s="1" t="s">
        <v>489</v>
      </c>
      <c r="J902" s="1" t="s">
        <v>490</v>
      </c>
      <c r="K902" s="1" t="s">
        <v>22</v>
      </c>
      <c r="L902" s="1">
        <v>11544.23</v>
      </c>
      <c r="M902" s="1">
        <v>2</v>
      </c>
      <c r="N902" s="1">
        <v>0.2</v>
      </c>
      <c r="O902" s="1">
        <v>18470.77</v>
      </c>
      <c r="P902" s="1">
        <v>6398.31</v>
      </c>
    </row>
    <row r="903" spans="1:16" x14ac:dyDescent="0.3">
      <c r="A903" s="1" t="s">
        <v>411</v>
      </c>
      <c r="B903" s="2">
        <v>45330</v>
      </c>
      <c r="C903" s="2" t="str">
        <f>TEXT(E_Commerce_data[[#This Row],[order_date]],"MMM")</f>
        <v>Feb</v>
      </c>
      <c r="D903" s="1" t="s">
        <v>142</v>
      </c>
      <c r="E903" s="1" t="s">
        <v>143</v>
      </c>
      <c r="F903" s="1" t="s">
        <v>93</v>
      </c>
      <c r="G903" s="1" t="s">
        <v>27</v>
      </c>
      <c r="H903" s="2">
        <v>45109</v>
      </c>
      <c r="I903" s="1" t="s">
        <v>315</v>
      </c>
      <c r="J903" s="1" t="s">
        <v>316</v>
      </c>
      <c r="K903" s="1" t="s">
        <v>22</v>
      </c>
      <c r="L903" s="1">
        <v>16937.37</v>
      </c>
      <c r="M903" s="1">
        <v>5</v>
      </c>
      <c r="N903" s="1">
        <v>0</v>
      </c>
      <c r="O903" s="1">
        <v>84686.85</v>
      </c>
      <c r="P903" s="1">
        <v>8694.5499999999993</v>
      </c>
    </row>
    <row r="904" spans="1:16" x14ac:dyDescent="0.3">
      <c r="A904" s="1" t="s">
        <v>749</v>
      </c>
      <c r="B904" s="2">
        <v>45516</v>
      </c>
      <c r="C904" s="2" t="str">
        <f>TEXT(E_Commerce_data[[#This Row],[order_date]],"MMM")</f>
        <v>Aug</v>
      </c>
      <c r="D904" s="1" t="s">
        <v>162</v>
      </c>
      <c r="E904" s="1" t="s">
        <v>163</v>
      </c>
      <c r="F904" s="1" t="s">
        <v>93</v>
      </c>
      <c r="G904" s="1" t="s">
        <v>27</v>
      </c>
      <c r="H904" s="2">
        <v>45200</v>
      </c>
      <c r="I904" s="1" t="s">
        <v>706</v>
      </c>
      <c r="J904" s="1" t="s">
        <v>707</v>
      </c>
      <c r="K904" s="1" t="s">
        <v>560</v>
      </c>
      <c r="L904" s="1">
        <v>31573.59</v>
      </c>
      <c r="M904" s="1">
        <v>1</v>
      </c>
      <c r="N904" s="1">
        <v>0</v>
      </c>
      <c r="O904" s="1">
        <v>31573.59</v>
      </c>
      <c r="P904" s="1">
        <v>3782.11</v>
      </c>
    </row>
    <row r="905" spans="1:16" x14ac:dyDescent="0.3">
      <c r="A905" s="1" t="s">
        <v>312</v>
      </c>
      <c r="B905" s="2">
        <v>45631</v>
      </c>
      <c r="C905" s="2" t="str">
        <f>TEXT(E_Commerce_data[[#This Row],[order_date]],"MMM")</f>
        <v>Dec</v>
      </c>
      <c r="D905" s="1" t="s">
        <v>45</v>
      </c>
      <c r="E905" s="1" t="s">
        <v>46</v>
      </c>
      <c r="F905" s="1" t="s">
        <v>47</v>
      </c>
      <c r="G905" s="1" t="s">
        <v>48</v>
      </c>
      <c r="H905" s="2">
        <v>45290</v>
      </c>
      <c r="I905" s="1" t="s">
        <v>215</v>
      </c>
      <c r="J905" s="1" t="s">
        <v>216</v>
      </c>
      <c r="K905" s="1" t="s">
        <v>22</v>
      </c>
      <c r="L905" s="1">
        <v>11273.63</v>
      </c>
      <c r="M905" s="1">
        <v>1</v>
      </c>
      <c r="N905" s="1">
        <v>0.1</v>
      </c>
      <c r="O905" s="1">
        <v>10146.27</v>
      </c>
      <c r="P905" s="1">
        <v>1962.26</v>
      </c>
    </row>
    <row r="906" spans="1:16" x14ac:dyDescent="0.3">
      <c r="A906" s="1" t="s">
        <v>953</v>
      </c>
      <c r="B906" s="2">
        <v>45640</v>
      </c>
      <c r="C906" s="2" t="str">
        <f>TEXT(E_Commerce_data[[#This Row],[order_date]],"MMM")</f>
        <v>Dec</v>
      </c>
      <c r="D906" s="1" t="s">
        <v>85</v>
      </c>
      <c r="E906" s="1" t="s">
        <v>86</v>
      </c>
      <c r="F906" s="1" t="s">
        <v>36</v>
      </c>
      <c r="G906" s="1" t="s">
        <v>32</v>
      </c>
      <c r="H906" s="2">
        <v>44957</v>
      </c>
      <c r="I906" s="1" t="s">
        <v>900</v>
      </c>
      <c r="J906" s="1" t="s">
        <v>901</v>
      </c>
      <c r="K906" s="1" t="s">
        <v>902</v>
      </c>
      <c r="L906" s="1">
        <v>42988.79</v>
      </c>
      <c r="M906" s="1">
        <v>5</v>
      </c>
      <c r="N906" s="1">
        <v>0</v>
      </c>
      <c r="O906" s="1">
        <v>214943.95</v>
      </c>
      <c r="P906" s="1">
        <v>62749.37</v>
      </c>
    </row>
    <row r="907" spans="1:16" x14ac:dyDescent="0.3">
      <c r="A907" s="1" t="s">
        <v>816</v>
      </c>
      <c r="B907" s="2">
        <v>45623</v>
      </c>
      <c r="C907" s="2" t="str">
        <f>TEXT(E_Commerce_data[[#This Row],[order_date]],"MMM")</f>
        <v>Nov</v>
      </c>
      <c r="D907" s="1" t="s">
        <v>16</v>
      </c>
      <c r="E907" s="1" t="s">
        <v>17</v>
      </c>
      <c r="F907" s="1" t="s">
        <v>18</v>
      </c>
      <c r="G907" s="1" t="s">
        <v>19</v>
      </c>
      <c r="H907" s="2">
        <v>44986</v>
      </c>
      <c r="I907" s="1" t="s">
        <v>763</v>
      </c>
      <c r="J907" s="1" t="s">
        <v>764</v>
      </c>
      <c r="K907" s="1" t="s">
        <v>560</v>
      </c>
      <c r="L907" s="1">
        <v>11485.64</v>
      </c>
      <c r="M907" s="1">
        <v>2</v>
      </c>
      <c r="N907" s="1">
        <v>0.2</v>
      </c>
      <c r="O907" s="1">
        <v>18377.02</v>
      </c>
      <c r="P907" s="1">
        <v>5573.48</v>
      </c>
    </row>
    <row r="908" spans="1:16" x14ac:dyDescent="0.3">
      <c r="A908" s="1" t="s">
        <v>1027</v>
      </c>
      <c r="B908" s="2">
        <v>46013</v>
      </c>
      <c r="C908" s="2" t="str">
        <f>TEXT(E_Commerce_data[[#This Row],[order_date]],"MMM")</f>
        <v>Dec</v>
      </c>
      <c r="D908" s="1" t="s">
        <v>74</v>
      </c>
      <c r="E908" s="1" t="s">
        <v>75</v>
      </c>
      <c r="F908" s="1" t="s">
        <v>76</v>
      </c>
      <c r="G908" s="1" t="s">
        <v>32</v>
      </c>
      <c r="H908" s="2">
        <v>44954</v>
      </c>
      <c r="I908" s="1" t="s">
        <v>964</v>
      </c>
      <c r="J908" s="1" t="s">
        <v>965</v>
      </c>
      <c r="K908" s="1" t="s">
        <v>902</v>
      </c>
      <c r="L908" s="1">
        <v>3589.32</v>
      </c>
      <c r="M908" s="1">
        <v>1</v>
      </c>
      <c r="N908" s="1">
        <v>0</v>
      </c>
      <c r="O908" s="1">
        <v>3589.32</v>
      </c>
      <c r="P908" s="1">
        <v>338.52</v>
      </c>
    </row>
    <row r="909" spans="1:16" x14ac:dyDescent="0.3">
      <c r="A909" s="1" t="s">
        <v>954</v>
      </c>
      <c r="B909" s="2">
        <v>45830</v>
      </c>
      <c r="C909" s="2" t="str">
        <f>TEXT(E_Commerce_data[[#This Row],[order_date]],"MMM")</f>
        <v>Jun</v>
      </c>
      <c r="D909" s="1" t="s">
        <v>147</v>
      </c>
      <c r="E909" s="1" t="s">
        <v>148</v>
      </c>
      <c r="F909" s="1" t="s">
        <v>36</v>
      </c>
      <c r="G909" s="1" t="s">
        <v>32</v>
      </c>
      <c r="H909" s="2">
        <v>45090</v>
      </c>
      <c r="I909" s="1" t="s">
        <v>900</v>
      </c>
      <c r="J909" s="1" t="s">
        <v>901</v>
      </c>
      <c r="K909" s="1" t="s">
        <v>902</v>
      </c>
      <c r="L909" s="1">
        <v>42988.79</v>
      </c>
      <c r="M909" s="1">
        <v>2</v>
      </c>
      <c r="N909" s="1">
        <v>0.2</v>
      </c>
      <c r="O909" s="1">
        <v>68782.06</v>
      </c>
      <c r="P909" s="1">
        <v>5727.91</v>
      </c>
    </row>
    <row r="910" spans="1:16" x14ac:dyDescent="0.3">
      <c r="A910" s="1" t="s">
        <v>750</v>
      </c>
      <c r="B910" s="2">
        <v>45970</v>
      </c>
      <c r="C910" s="2" t="str">
        <f>TEXT(E_Commerce_data[[#This Row],[order_date]],"MMM")</f>
        <v>Nov</v>
      </c>
      <c r="D910" s="1" t="s">
        <v>91</v>
      </c>
      <c r="E910" s="1" t="s">
        <v>92</v>
      </c>
      <c r="F910" s="1" t="s">
        <v>93</v>
      </c>
      <c r="G910" s="1" t="s">
        <v>27</v>
      </c>
      <c r="H910" s="2">
        <v>45550</v>
      </c>
      <c r="I910" s="1" t="s">
        <v>706</v>
      </c>
      <c r="J910" s="1" t="s">
        <v>707</v>
      </c>
      <c r="K910" s="1" t="s">
        <v>560</v>
      </c>
      <c r="L910" s="1">
        <v>31573.59</v>
      </c>
      <c r="M910" s="1">
        <v>3</v>
      </c>
      <c r="N910" s="1">
        <v>0</v>
      </c>
      <c r="O910" s="1">
        <v>94720.77</v>
      </c>
      <c r="P910" s="1">
        <v>15352.08</v>
      </c>
    </row>
    <row r="911" spans="1:16" x14ac:dyDescent="0.3">
      <c r="A911" s="1" t="s">
        <v>313</v>
      </c>
      <c r="B911" s="2">
        <v>45601</v>
      </c>
      <c r="C911" s="2" t="str">
        <f>TEXT(E_Commerce_data[[#This Row],[order_date]],"MMM")</f>
        <v>Nov</v>
      </c>
      <c r="D911" s="1" t="s">
        <v>63</v>
      </c>
      <c r="E911" s="1" t="s">
        <v>64</v>
      </c>
      <c r="F911" s="1" t="s">
        <v>18</v>
      </c>
      <c r="G911" s="1" t="s">
        <v>19</v>
      </c>
      <c r="H911" s="2">
        <v>45501</v>
      </c>
      <c r="I911" s="1" t="s">
        <v>215</v>
      </c>
      <c r="J911" s="1" t="s">
        <v>216</v>
      </c>
      <c r="K911" s="1" t="s">
        <v>22</v>
      </c>
      <c r="L911" s="1">
        <v>11273.63</v>
      </c>
      <c r="M911" s="1">
        <v>4</v>
      </c>
      <c r="N911" s="1">
        <v>0.1</v>
      </c>
      <c r="O911" s="1">
        <v>40585.07</v>
      </c>
      <c r="P911" s="1">
        <v>3259.37</v>
      </c>
    </row>
    <row r="912" spans="1:16" x14ac:dyDescent="0.3">
      <c r="A912" s="1" t="s">
        <v>1028</v>
      </c>
      <c r="B912" s="2">
        <v>45739</v>
      </c>
      <c r="C912" s="2" t="str">
        <f>TEXT(E_Commerce_data[[#This Row],[order_date]],"MMM")</f>
        <v>Mar</v>
      </c>
      <c r="D912" s="1" t="s">
        <v>96</v>
      </c>
      <c r="E912" s="1" t="s">
        <v>97</v>
      </c>
      <c r="F912" s="1" t="s">
        <v>18</v>
      </c>
      <c r="G912" s="1" t="s">
        <v>19</v>
      </c>
      <c r="H912" s="2">
        <v>45094</v>
      </c>
      <c r="I912" s="1" t="s">
        <v>964</v>
      </c>
      <c r="J912" s="1" t="s">
        <v>965</v>
      </c>
      <c r="K912" s="1" t="s">
        <v>902</v>
      </c>
      <c r="L912" s="1">
        <v>3589.32</v>
      </c>
      <c r="M912" s="1">
        <v>3</v>
      </c>
      <c r="N912" s="1">
        <v>0</v>
      </c>
      <c r="O912" s="1">
        <v>10767.96</v>
      </c>
      <c r="P912" s="1">
        <v>3690.81</v>
      </c>
    </row>
    <row r="913" spans="1:16" x14ac:dyDescent="0.3">
      <c r="A913" s="1" t="s">
        <v>955</v>
      </c>
      <c r="B913" s="2">
        <v>46016</v>
      </c>
      <c r="C913" s="2" t="str">
        <f>TEXT(E_Commerce_data[[#This Row],[order_date]],"MMM")</f>
        <v>Dec</v>
      </c>
      <c r="D913" s="1" t="s">
        <v>153</v>
      </c>
      <c r="E913" s="1" t="s">
        <v>154</v>
      </c>
      <c r="F913" s="1" t="s">
        <v>43</v>
      </c>
      <c r="G913" s="1" t="s">
        <v>32</v>
      </c>
      <c r="H913" s="2">
        <v>45073</v>
      </c>
      <c r="I913" s="1" t="s">
        <v>900</v>
      </c>
      <c r="J913" s="1" t="s">
        <v>901</v>
      </c>
      <c r="K913" s="1" t="s">
        <v>902</v>
      </c>
      <c r="L913" s="1">
        <v>42988.79</v>
      </c>
      <c r="M913" s="1">
        <v>4</v>
      </c>
      <c r="N913" s="1">
        <v>0.15</v>
      </c>
      <c r="O913" s="1">
        <v>146161.89000000001</v>
      </c>
      <c r="P913" s="1">
        <v>21220.52</v>
      </c>
    </row>
    <row r="914" spans="1:16" x14ac:dyDescent="0.3">
      <c r="A914" s="1" t="s">
        <v>1250</v>
      </c>
      <c r="B914" s="2">
        <v>45920</v>
      </c>
      <c r="C914" s="2" t="str">
        <f>TEXT(E_Commerce_data[[#This Row],[order_date]],"MMM")</f>
        <v>Sep</v>
      </c>
      <c r="D914" s="1" t="s">
        <v>179</v>
      </c>
      <c r="E914" s="1" t="s">
        <v>180</v>
      </c>
      <c r="F914" s="1" t="s">
        <v>47</v>
      </c>
      <c r="G914" s="1" t="s">
        <v>48</v>
      </c>
      <c r="H914" s="2">
        <v>45337</v>
      </c>
      <c r="I914" s="1" t="s">
        <v>1162</v>
      </c>
      <c r="J914" s="1" t="s">
        <v>1163</v>
      </c>
      <c r="K914" s="1" t="s">
        <v>902</v>
      </c>
      <c r="L914" s="1">
        <v>10751.13</v>
      </c>
      <c r="M914" s="1">
        <v>5</v>
      </c>
      <c r="N914" s="1">
        <v>0.15</v>
      </c>
      <c r="O914" s="1">
        <v>45692.3</v>
      </c>
      <c r="P914" s="1">
        <v>14478.98</v>
      </c>
    </row>
    <row r="915" spans="1:16" x14ac:dyDescent="0.3">
      <c r="A915" s="1" t="s">
        <v>412</v>
      </c>
      <c r="B915" s="2">
        <v>45471</v>
      </c>
      <c r="C915" s="2" t="str">
        <f>TEXT(E_Commerce_data[[#This Row],[order_date]],"MMM")</f>
        <v>Jun</v>
      </c>
      <c r="D915" s="1" t="s">
        <v>129</v>
      </c>
      <c r="E915" s="1" t="s">
        <v>130</v>
      </c>
      <c r="F915" s="1" t="s">
        <v>72</v>
      </c>
      <c r="G915" s="1" t="s">
        <v>48</v>
      </c>
      <c r="H915" s="2">
        <v>45021</v>
      </c>
      <c r="I915" s="1" t="s">
        <v>315</v>
      </c>
      <c r="J915" s="1" t="s">
        <v>316</v>
      </c>
      <c r="K915" s="1" t="s">
        <v>22</v>
      </c>
      <c r="L915" s="1">
        <v>16937.37</v>
      </c>
      <c r="M915" s="1">
        <v>3</v>
      </c>
      <c r="N915" s="1">
        <v>0</v>
      </c>
      <c r="O915" s="1">
        <v>50812.11</v>
      </c>
      <c r="P915" s="1">
        <v>12685.73</v>
      </c>
    </row>
    <row r="916" spans="1:16" x14ac:dyDescent="0.3">
      <c r="A916" s="1" t="s">
        <v>626</v>
      </c>
      <c r="B916" s="2">
        <v>45593</v>
      </c>
      <c r="C916" s="2" t="str">
        <f>TEXT(E_Commerce_data[[#This Row],[order_date]],"MMM")</f>
        <v>Oct</v>
      </c>
      <c r="D916" s="1" t="s">
        <v>82</v>
      </c>
      <c r="E916" s="1" t="s">
        <v>83</v>
      </c>
      <c r="F916" s="1" t="s">
        <v>47</v>
      </c>
      <c r="G916" s="1" t="s">
        <v>48</v>
      </c>
      <c r="H916" s="2">
        <v>45279</v>
      </c>
      <c r="I916" s="1" t="s">
        <v>558</v>
      </c>
      <c r="J916" s="1" t="s">
        <v>559</v>
      </c>
      <c r="K916" s="1" t="s">
        <v>560</v>
      </c>
      <c r="L916" s="1">
        <v>11049.86</v>
      </c>
      <c r="M916" s="1">
        <v>4</v>
      </c>
      <c r="N916" s="1">
        <v>0</v>
      </c>
      <c r="O916" s="1">
        <v>44199.44</v>
      </c>
      <c r="P916" s="1">
        <v>11942.62</v>
      </c>
    </row>
    <row r="917" spans="1:16" x14ac:dyDescent="0.3">
      <c r="A917" s="1" t="s">
        <v>627</v>
      </c>
      <c r="B917" s="2">
        <v>46010</v>
      </c>
      <c r="C917" s="2" t="str">
        <f>TEXT(E_Commerce_data[[#This Row],[order_date]],"MMM")</f>
        <v>Dec</v>
      </c>
      <c r="D917" s="1" t="s">
        <v>354</v>
      </c>
      <c r="E917" s="1" t="s">
        <v>355</v>
      </c>
      <c r="F917" s="1" t="s">
        <v>26</v>
      </c>
      <c r="G917" s="1" t="s">
        <v>27</v>
      </c>
      <c r="H917" s="2">
        <v>45582</v>
      </c>
      <c r="I917" s="1" t="s">
        <v>558</v>
      </c>
      <c r="J917" s="1" t="s">
        <v>559</v>
      </c>
      <c r="K917" s="1" t="s">
        <v>560</v>
      </c>
      <c r="L917" s="1">
        <v>11049.86</v>
      </c>
      <c r="M917" s="1">
        <v>2</v>
      </c>
      <c r="N917" s="1">
        <v>0</v>
      </c>
      <c r="O917" s="1">
        <v>22099.72</v>
      </c>
      <c r="P917" s="1">
        <v>5937.07</v>
      </c>
    </row>
    <row r="918" spans="1:16" x14ac:dyDescent="0.3">
      <c r="A918" s="1" t="s">
        <v>628</v>
      </c>
      <c r="B918" s="2">
        <v>45873</v>
      </c>
      <c r="C918" s="2" t="str">
        <f>TEXT(E_Commerce_data[[#This Row],[order_date]],"MMM")</f>
        <v>Aug</v>
      </c>
      <c r="D918" s="1" t="s">
        <v>171</v>
      </c>
      <c r="E918" s="1" t="s">
        <v>172</v>
      </c>
      <c r="F918" s="1" t="s">
        <v>47</v>
      </c>
      <c r="G918" s="1" t="s">
        <v>48</v>
      </c>
      <c r="H918" s="2">
        <v>45093</v>
      </c>
      <c r="I918" s="1" t="s">
        <v>558</v>
      </c>
      <c r="J918" s="1" t="s">
        <v>559</v>
      </c>
      <c r="K918" s="1" t="s">
        <v>560</v>
      </c>
      <c r="L918" s="1">
        <v>11049.86</v>
      </c>
      <c r="M918" s="1">
        <v>5</v>
      </c>
      <c r="N918" s="1">
        <v>0.05</v>
      </c>
      <c r="O918" s="1">
        <v>52486.84</v>
      </c>
      <c r="P918" s="1">
        <v>16020.41</v>
      </c>
    </row>
    <row r="919" spans="1:16" x14ac:dyDescent="0.3">
      <c r="A919" s="1" t="s">
        <v>551</v>
      </c>
      <c r="B919" s="2">
        <v>45918</v>
      </c>
      <c r="C919" s="2" t="str">
        <f>TEXT(E_Commerce_data[[#This Row],[order_date]],"MMM")</f>
        <v>Sep</v>
      </c>
      <c r="D919" s="1" t="s">
        <v>259</v>
      </c>
      <c r="E919" s="1" t="s">
        <v>260</v>
      </c>
      <c r="F919" s="1" t="s">
        <v>18</v>
      </c>
      <c r="G919" s="1" t="s">
        <v>19</v>
      </c>
      <c r="H919" s="2">
        <v>45444</v>
      </c>
      <c r="I919" s="1" t="s">
        <v>489</v>
      </c>
      <c r="J919" s="1" t="s">
        <v>490</v>
      </c>
      <c r="K919" s="1" t="s">
        <v>22</v>
      </c>
      <c r="L919" s="1">
        <v>11544.23</v>
      </c>
      <c r="M919" s="1">
        <v>1</v>
      </c>
      <c r="N919" s="1">
        <v>0</v>
      </c>
      <c r="O919" s="1">
        <v>11544.23</v>
      </c>
      <c r="P919" s="1">
        <v>2663.45</v>
      </c>
    </row>
    <row r="920" spans="1:16" x14ac:dyDescent="0.3">
      <c r="A920" s="1" t="s">
        <v>751</v>
      </c>
      <c r="B920" s="2">
        <v>45800</v>
      </c>
      <c r="C920" s="2" t="str">
        <f>TEXT(E_Commerce_data[[#This Row],[order_date]],"MMM")</f>
        <v>May</v>
      </c>
      <c r="D920" s="1" t="s">
        <v>156</v>
      </c>
      <c r="E920" s="1" t="s">
        <v>157</v>
      </c>
      <c r="F920" s="1" t="s">
        <v>26</v>
      </c>
      <c r="G920" s="1" t="s">
        <v>27</v>
      </c>
      <c r="H920" s="2">
        <v>45391</v>
      </c>
      <c r="I920" s="1" t="s">
        <v>706</v>
      </c>
      <c r="J920" s="1" t="s">
        <v>707</v>
      </c>
      <c r="K920" s="1" t="s">
        <v>560</v>
      </c>
      <c r="L920" s="1">
        <v>31573.59</v>
      </c>
      <c r="M920" s="1">
        <v>2</v>
      </c>
      <c r="N920" s="1">
        <v>0.15</v>
      </c>
      <c r="O920" s="1">
        <v>53675.1</v>
      </c>
      <c r="P920" s="1">
        <v>11790.54</v>
      </c>
    </row>
    <row r="921" spans="1:16" x14ac:dyDescent="0.3">
      <c r="A921" s="1" t="s">
        <v>1251</v>
      </c>
      <c r="B921" s="2">
        <v>45535</v>
      </c>
      <c r="C921" s="2" t="str">
        <f>TEXT(E_Commerce_data[[#This Row],[order_date]],"MMM")</f>
        <v>Aug</v>
      </c>
      <c r="D921" s="1" t="s">
        <v>159</v>
      </c>
      <c r="E921" s="1" t="s">
        <v>160</v>
      </c>
      <c r="F921" s="1" t="s">
        <v>76</v>
      </c>
      <c r="G921" s="1" t="s">
        <v>32</v>
      </c>
      <c r="H921" s="2">
        <v>45211</v>
      </c>
      <c r="I921" s="1" t="s">
        <v>1162</v>
      </c>
      <c r="J921" s="1" t="s">
        <v>1163</v>
      </c>
      <c r="K921" s="1" t="s">
        <v>902</v>
      </c>
      <c r="L921" s="1">
        <v>10751.13</v>
      </c>
      <c r="M921" s="1">
        <v>2</v>
      </c>
      <c r="N921" s="1">
        <v>0</v>
      </c>
      <c r="O921" s="1">
        <v>21502.26</v>
      </c>
      <c r="P921" s="1">
        <v>5883.08</v>
      </c>
    </row>
    <row r="922" spans="1:16" x14ac:dyDescent="0.3">
      <c r="A922" s="1" t="s">
        <v>752</v>
      </c>
      <c r="B922" s="2">
        <v>45382</v>
      </c>
      <c r="C922" s="2" t="str">
        <f>TEXT(E_Commerce_data[[#This Row],[order_date]],"MMM")</f>
        <v>Mar</v>
      </c>
      <c r="D922" s="1" t="s">
        <v>329</v>
      </c>
      <c r="E922" s="1" t="s">
        <v>330</v>
      </c>
      <c r="F922" s="1" t="s">
        <v>31</v>
      </c>
      <c r="G922" s="1" t="s">
        <v>32</v>
      </c>
      <c r="H922" s="2">
        <v>45275</v>
      </c>
      <c r="I922" s="1" t="s">
        <v>706</v>
      </c>
      <c r="J922" s="1" t="s">
        <v>707</v>
      </c>
      <c r="K922" s="1" t="s">
        <v>560</v>
      </c>
      <c r="L922" s="1">
        <v>31573.59</v>
      </c>
      <c r="M922" s="1">
        <v>3</v>
      </c>
      <c r="N922" s="1">
        <v>0</v>
      </c>
      <c r="O922" s="1">
        <v>94720.77</v>
      </c>
      <c r="P922" s="1">
        <v>9506.77</v>
      </c>
    </row>
    <row r="923" spans="1:16" x14ac:dyDescent="0.3">
      <c r="A923" s="1" t="s">
        <v>698</v>
      </c>
      <c r="B923" s="2">
        <v>45506</v>
      </c>
      <c r="C923" s="2" t="str">
        <f>TEXT(E_Commerce_data[[#This Row],[order_date]],"MMM")</f>
        <v>Aug</v>
      </c>
      <c r="D923" s="1" t="s">
        <v>38</v>
      </c>
      <c r="E923" s="1" t="s">
        <v>39</v>
      </c>
      <c r="F923" s="1" t="s">
        <v>18</v>
      </c>
      <c r="G923" s="1" t="s">
        <v>19</v>
      </c>
      <c r="H923" s="2">
        <v>45069</v>
      </c>
      <c r="I923" s="1" t="s">
        <v>633</v>
      </c>
      <c r="J923" s="1" t="s">
        <v>634</v>
      </c>
      <c r="K923" s="1" t="s">
        <v>560</v>
      </c>
      <c r="L923" s="1">
        <v>3596.1</v>
      </c>
      <c r="M923" s="1">
        <v>3</v>
      </c>
      <c r="N923" s="1">
        <v>0.05</v>
      </c>
      <c r="O923" s="1">
        <v>10248.879999999999</v>
      </c>
      <c r="P923" s="1">
        <v>547.48</v>
      </c>
    </row>
    <row r="924" spans="1:16" x14ac:dyDescent="0.3">
      <c r="A924" s="1" t="s">
        <v>699</v>
      </c>
      <c r="B924" s="2">
        <v>45554</v>
      </c>
      <c r="C924" s="2" t="str">
        <f>TEXT(E_Commerce_data[[#This Row],[order_date]],"MMM")</f>
        <v>Sep</v>
      </c>
      <c r="D924" s="1" t="s">
        <v>171</v>
      </c>
      <c r="E924" s="1" t="s">
        <v>172</v>
      </c>
      <c r="F924" s="1" t="s">
        <v>47</v>
      </c>
      <c r="G924" s="1" t="s">
        <v>48</v>
      </c>
      <c r="H924" s="2">
        <v>45093</v>
      </c>
      <c r="I924" s="1" t="s">
        <v>633</v>
      </c>
      <c r="J924" s="1" t="s">
        <v>634</v>
      </c>
      <c r="K924" s="1" t="s">
        <v>560</v>
      </c>
      <c r="L924" s="1">
        <v>3596.1</v>
      </c>
      <c r="M924" s="1">
        <v>2</v>
      </c>
      <c r="N924" s="1">
        <v>0.15</v>
      </c>
      <c r="O924" s="1">
        <v>6113.37</v>
      </c>
      <c r="P924" s="1">
        <v>430</v>
      </c>
    </row>
    <row r="925" spans="1:16" x14ac:dyDescent="0.3">
      <c r="A925" s="1" t="s">
        <v>201</v>
      </c>
      <c r="B925" s="2">
        <v>45687</v>
      </c>
      <c r="C925" s="2" t="str">
        <f>TEXT(E_Commerce_data[[#This Row],[order_date]],"MMM")</f>
        <v>Jan</v>
      </c>
      <c r="D925" s="1" t="s">
        <v>132</v>
      </c>
      <c r="E925" s="1" t="s">
        <v>133</v>
      </c>
      <c r="F925" s="1" t="s">
        <v>76</v>
      </c>
      <c r="G925" s="1" t="s">
        <v>32</v>
      </c>
      <c r="H925" s="2">
        <v>45359</v>
      </c>
      <c r="I925" s="1" t="s">
        <v>20</v>
      </c>
      <c r="J925" s="1" t="s">
        <v>21</v>
      </c>
      <c r="K925" s="1" t="s">
        <v>22</v>
      </c>
      <c r="L925" s="1">
        <v>6094.16</v>
      </c>
      <c r="M925" s="1">
        <v>1</v>
      </c>
      <c r="N925" s="1">
        <v>0.15</v>
      </c>
      <c r="O925" s="1">
        <v>5180.04</v>
      </c>
      <c r="P925" s="1">
        <v>260.99</v>
      </c>
    </row>
    <row r="926" spans="1:16" x14ac:dyDescent="0.3">
      <c r="A926" s="1" t="s">
        <v>956</v>
      </c>
      <c r="B926" s="2">
        <v>45462</v>
      </c>
      <c r="C926" s="2" t="str">
        <f>TEXT(E_Commerce_data[[#This Row],[order_date]],"MMM")</f>
        <v>Jun</v>
      </c>
      <c r="D926" s="1" t="s">
        <v>60</v>
      </c>
      <c r="E926" s="1" t="s">
        <v>61</v>
      </c>
      <c r="F926" s="1" t="s">
        <v>18</v>
      </c>
      <c r="G926" s="1" t="s">
        <v>19</v>
      </c>
      <c r="H926" s="2">
        <v>45507</v>
      </c>
      <c r="I926" s="1" t="s">
        <v>900</v>
      </c>
      <c r="J926" s="1" t="s">
        <v>901</v>
      </c>
      <c r="K926" s="1" t="s">
        <v>902</v>
      </c>
      <c r="L926" s="1">
        <v>42988.79</v>
      </c>
      <c r="M926" s="1">
        <v>4</v>
      </c>
      <c r="N926" s="1">
        <v>0.15</v>
      </c>
      <c r="O926" s="1">
        <v>146161.89000000001</v>
      </c>
      <c r="P926" s="1">
        <v>25709.29</v>
      </c>
    </row>
    <row r="927" spans="1:16" x14ac:dyDescent="0.3">
      <c r="A927" s="1" t="s">
        <v>483</v>
      </c>
      <c r="B927" s="2">
        <v>45651</v>
      </c>
      <c r="C927" s="2" t="str">
        <f>TEXT(E_Commerce_data[[#This Row],[order_date]],"MMM")</f>
        <v>Dec</v>
      </c>
      <c r="D927" s="1" t="s">
        <v>218</v>
      </c>
      <c r="E927" s="1" t="s">
        <v>219</v>
      </c>
      <c r="F927" s="1" t="s">
        <v>47</v>
      </c>
      <c r="G927" s="1" t="s">
        <v>48</v>
      </c>
      <c r="H927" s="2">
        <v>45241</v>
      </c>
      <c r="I927" s="1" t="s">
        <v>420</v>
      </c>
      <c r="J927" s="1" t="s">
        <v>421</v>
      </c>
      <c r="K927" s="1" t="s">
        <v>22</v>
      </c>
      <c r="L927" s="1">
        <v>29436.02</v>
      </c>
      <c r="M927" s="1">
        <v>4</v>
      </c>
      <c r="N927" s="1">
        <v>0.05</v>
      </c>
      <c r="O927" s="1">
        <v>111856.88</v>
      </c>
      <c r="P927" s="1">
        <v>35182.480000000003</v>
      </c>
    </row>
    <row r="928" spans="1:16" x14ac:dyDescent="0.3">
      <c r="A928" s="1" t="s">
        <v>413</v>
      </c>
      <c r="B928" s="2">
        <v>45782</v>
      </c>
      <c r="C928" s="2" t="str">
        <f>TEXT(E_Commerce_data[[#This Row],[order_date]],"MMM")</f>
        <v>May</v>
      </c>
      <c r="D928" s="1" t="s">
        <v>135</v>
      </c>
      <c r="E928" s="1" t="s">
        <v>136</v>
      </c>
      <c r="F928" s="1" t="s">
        <v>31</v>
      </c>
      <c r="G928" s="1" t="s">
        <v>32</v>
      </c>
      <c r="H928" s="2">
        <v>45537</v>
      </c>
      <c r="I928" s="1" t="s">
        <v>315</v>
      </c>
      <c r="J928" s="1" t="s">
        <v>316</v>
      </c>
      <c r="K928" s="1" t="s">
        <v>22</v>
      </c>
      <c r="L928" s="1">
        <v>16937.37</v>
      </c>
      <c r="M928" s="1">
        <v>5</v>
      </c>
      <c r="N928" s="1">
        <v>0.05</v>
      </c>
      <c r="O928" s="1">
        <v>80452.509999999995</v>
      </c>
      <c r="P928" s="1">
        <v>6470.68</v>
      </c>
    </row>
    <row r="929" spans="1:16" x14ac:dyDescent="0.3">
      <c r="A929" s="1" t="s">
        <v>753</v>
      </c>
      <c r="B929" s="2">
        <v>45522</v>
      </c>
      <c r="C929" s="2" t="str">
        <f>TEXT(E_Commerce_data[[#This Row],[order_date]],"MMM")</f>
        <v>Aug</v>
      </c>
      <c r="D929" s="1" t="s">
        <v>222</v>
      </c>
      <c r="E929" s="1" t="s">
        <v>223</v>
      </c>
      <c r="F929" s="1" t="s">
        <v>72</v>
      </c>
      <c r="G929" s="1" t="s">
        <v>48</v>
      </c>
      <c r="H929" s="2">
        <v>45014</v>
      </c>
      <c r="I929" s="1" t="s">
        <v>706</v>
      </c>
      <c r="J929" s="1" t="s">
        <v>707</v>
      </c>
      <c r="K929" s="1" t="s">
        <v>560</v>
      </c>
      <c r="L929" s="1">
        <v>31573.59</v>
      </c>
      <c r="M929" s="1">
        <v>5</v>
      </c>
      <c r="N929" s="1">
        <v>0.15</v>
      </c>
      <c r="O929" s="1">
        <v>134187.76</v>
      </c>
      <c r="P929" s="1">
        <v>37233.49</v>
      </c>
    </row>
    <row r="930" spans="1:16" x14ac:dyDescent="0.3">
      <c r="A930" s="1" t="s">
        <v>1097</v>
      </c>
      <c r="B930" s="2">
        <v>45326</v>
      </c>
      <c r="C930" s="2" t="str">
        <f>TEXT(E_Commerce_data[[#This Row],[order_date]],"MMM")</f>
        <v>Feb</v>
      </c>
      <c r="D930" s="1" t="s">
        <v>156</v>
      </c>
      <c r="E930" s="1" t="s">
        <v>157</v>
      </c>
      <c r="F930" s="1" t="s">
        <v>26</v>
      </c>
      <c r="G930" s="1" t="s">
        <v>27</v>
      </c>
      <c r="H930" s="2">
        <v>45391</v>
      </c>
      <c r="I930" s="1" t="s">
        <v>1034</v>
      </c>
      <c r="J930" s="1" t="s">
        <v>1035</v>
      </c>
      <c r="K930" s="1" t="s">
        <v>902</v>
      </c>
      <c r="L930" s="1">
        <v>11938.33</v>
      </c>
      <c r="M930" s="1">
        <v>2</v>
      </c>
      <c r="N930" s="1">
        <v>0.05</v>
      </c>
      <c r="O930" s="1">
        <v>22682.83</v>
      </c>
      <c r="P930" s="1">
        <v>1635.72</v>
      </c>
    </row>
    <row r="931" spans="1:16" x14ac:dyDescent="0.3">
      <c r="A931" s="1" t="s">
        <v>1098</v>
      </c>
      <c r="B931" s="2">
        <v>45399</v>
      </c>
      <c r="C931" s="2" t="str">
        <f>TEXT(E_Commerce_data[[#This Row],[order_date]],"MMM")</f>
        <v>Apr</v>
      </c>
      <c r="D931" s="1" t="s">
        <v>387</v>
      </c>
      <c r="E931" s="1" t="s">
        <v>388</v>
      </c>
      <c r="F931" s="1" t="s">
        <v>26</v>
      </c>
      <c r="G931" s="1" t="s">
        <v>27</v>
      </c>
      <c r="H931" s="2">
        <v>45335</v>
      </c>
      <c r="I931" s="1" t="s">
        <v>1034</v>
      </c>
      <c r="J931" s="1" t="s">
        <v>1035</v>
      </c>
      <c r="K931" s="1" t="s">
        <v>902</v>
      </c>
      <c r="L931" s="1">
        <v>11938.33</v>
      </c>
      <c r="M931" s="1">
        <v>3</v>
      </c>
      <c r="N931" s="1">
        <v>0</v>
      </c>
      <c r="O931" s="1">
        <v>35814.99</v>
      </c>
      <c r="P931" s="1">
        <v>5215.2</v>
      </c>
    </row>
    <row r="932" spans="1:16" x14ac:dyDescent="0.3">
      <c r="A932" s="1" t="s">
        <v>202</v>
      </c>
      <c r="B932" s="2">
        <v>45676</v>
      </c>
      <c r="C932" s="2" t="str">
        <f>TEXT(E_Commerce_data[[#This Row],[order_date]],"MMM")</f>
        <v>Jan</v>
      </c>
      <c r="D932" s="1" t="s">
        <v>203</v>
      </c>
      <c r="E932" s="1" t="s">
        <v>204</v>
      </c>
      <c r="F932" s="1" t="s">
        <v>76</v>
      </c>
      <c r="G932" s="1" t="s">
        <v>32</v>
      </c>
      <c r="H932" s="2">
        <v>45297</v>
      </c>
      <c r="I932" s="1" t="s">
        <v>20</v>
      </c>
      <c r="J932" s="1" t="s">
        <v>21</v>
      </c>
      <c r="K932" s="1" t="s">
        <v>22</v>
      </c>
      <c r="L932" s="1">
        <v>6094.16</v>
      </c>
      <c r="M932" s="1">
        <v>1</v>
      </c>
      <c r="N932" s="1">
        <v>0</v>
      </c>
      <c r="O932" s="1">
        <v>6094.16</v>
      </c>
      <c r="P932" s="1">
        <v>615.70000000000005</v>
      </c>
    </row>
    <row r="933" spans="1:16" x14ac:dyDescent="0.3">
      <c r="A933" s="1" t="s">
        <v>754</v>
      </c>
      <c r="B933" s="2">
        <v>45387</v>
      </c>
      <c r="C933" s="2" t="str">
        <f>TEXT(E_Commerce_data[[#This Row],[order_date]],"MMM")</f>
        <v>Apr</v>
      </c>
      <c r="D933" s="1" t="s">
        <v>387</v>
      </c>
      <c r="E933" s="1" t="s">
        <v>388</v>
      </c>
      <c r="F933" s="1" t="s">
        <v>26</v>
      </c>
      <c r="G933" s="1" t="s">
        <v>27</v>
      </c>
      <c r="H933" s="2">
        <v>45335</v>
      </c>
      <c r="I933" s="1" t="s">
        <v>706</v>
      </c>
      <c r="J933" s="1" t="s">
        <v>707</v>
      </c>
      <c r="K933" s="1" t="s">
        <v>560</v>
      </c>
      <c r="L933" s="1">
        <v>31573.59</v>
      </c>
      <c r="M933" s="1">
        <v>2</v>
      </c>
      <c r="N933" s="1">
        <v>0.15</v>
      </c>
      <c r="O933" s="1">
        <v>53675.1</v>
      </c>
      <c r="P933" s="1">
        <v>3891.48</v>
      </c>
    </row>
    <row r="934" spans="1:16" x14ac:dyDescent="0.3">
      <c r="A934" s="1" t="s">
        <v>755</v>
      </c>
      <c r="B934" s="2">
        <v>45786</v>
      </c>
      <c r="C934" s="2" t="str">
        <f>TEXT(E_Commerce_data[[#This Row],[order_date]],"MMM")</f>
        <v>May</v>
      </c>
      <c r="D934" s="1" t="s">
        <v>230</v>
      </c>
      <c r="E934" s="1" t="s">
        <v>231</v>
      </c>
      <c r="F934" s="1" t="s">
        <v>72</v>
      </c>
      <c r="G934" s="1" t="s">
        <v>48</v>
      </c>
      <c r="H934" s="2">
        <v>45550</v>
      </c>
      <c r="I934" s="1" t="s">
        <v>706</v>
      </c>
      <c r="J934" s="1" t="s">
        <v>707</v>
      </c>
      <c r="K934" s="1" t="s">
        <v>560</v>
      </c>
      <c r="L934" s="1">
        <v>31573.59</v>
      </c>
      <c r="M934" s="1">
        <v>3</v>
      </c>
      <c r="N934" s="1">
        <v>0.1</v>
      </c>
      <c r="O934" s="1">
        <v>85248.69</v>
      </c>
      <c r="P934" s="1">
        <v>29460.48</v>
      </c>
    </row>
    <row r="935" spans="1:16" x14ac:dyDescent="0.3">
      <c r="A935" s="1" t="s">
        <v>205</v>
      </c>
      <c r="B935" s="2">
        <v>45460</v>
      </c>
      <c r="C935" s="2" t="str">
        <f>TEXT(E_Commerce_data[[#This Row],[order_date]],"MMM")</f>
        <v>Jun</v>
      </c>
      <c r="D935" s="1" t="s">
        <v>206</v>
      </c>
      <c r="E935" s="1" t="s">
        <v>207</v>
      </c>
      <c r="F935" s="1" t="s">
        <v>72</v>
      </c>
      <c r="G935" s="1" t="s">
        <v>48</v>
      </c>
      <c r="H935" s="2">
        <v>45625</v>
      </c>
      <c r="I935" s="1" t="s">
        <v>20</v>
      </c>
      <c r="J935" s="1" t="s">
        <v>21</v>
      </c>
      <c r="K935" s="1" t="s">
        <v>22</v>
      </c>
      <c r="L935" s="1">
        <v>6094.16</v>
      </c>
      <c r="M935" s="1">
        <v>1</v>
      </c>
      <c r="N935" s="1">
        <v>0.05</v>
      </c>
      <c r="O935" s="1">
        <v>5789.45</v>
      </c>
      <c r="P935" s="1">
        <v>1926.34</v>
      </c>
    </row>
    <row r="936" spans="1:16" x14ac:dyDescent="0.3">
      <c r="A936" s="1" t="s">
        <v>552</v>
      </c>
      <c r="B936" s="2">
        <v>45395</v>
      </c>
      <c r="C936" s="2" t="str">
        <f>TEXT(E_Commerce_data[[#This Row],[order_date]],"MMM")</f>
        <v>Apr</v>
      </c>
      <c r="D936" s="1" t="s">
        <v>449</v>
      </c>
      <c r="E936" s="1" t="s">
        <v>450</v>
      </c>
      <c r="F936" s="1" t="s">
        <v>93</v>
      </c>
      <c r="G936" s="1" t="s">
        <v>27</v>
      </c>
      <c r="H936" s="2">
        <v>45035</v>
      </c>
      <c r="I936" s="1" t="s">
        <v>489</v>
      </c>
      <c r="J936" s="1" t="s">
        <v>490</v>
      </c>
      <c r="K936" s="1" t="s">
        <v>22</v>
      </c>
      <c r="L936" s="1">
        <v>11544.23</v>
      </c>
      <c r="M936" s="1">
        <v>5</v>
      </c>
      <c r="N936" s="1">
        <v>0.05</v>
      </c>
      <c r="O936" s="1">
        <v>54835.09</v>
      </c>
      <c r="P936" s="1">
        <v>5326.19</v>
      </c>
    </row>
    <row r="937" spans="1:16" x14ac:dyDescent="0.3">
      <c r="A937" s="1" t="s">
        <v>208</v>
      </c>
      <c r="B937" s="2">
        <v>45711</v>
      </c>
      <c r="C937" s="2" t="str">
        <f>TEXT(E_Commerce_data[[#This Row],[order_date]],"MMM")</f>
        <v>Feb</v>
      </c>
      <c r="D937" s="1" t="s">
        <v>209</v>
      </c>
      <c r="E937" s="1" t="s">
        <v>210</v>
      </c>
      <c r="F937" s="1" t="s">
        <v>18</v>
      </c>
      <c r="G937" s="1" t="s">
        <v>19</v>
      </c>
      <c r="H937" s="2">
        <v>45507</v>
      </c>
      <c r="I937" s="1" t="s">
        <v>20</v>
      </c>
      <c r="J937" s="1" t="s">
        <v>21</v>
      </c>
      <c r="K937" s="1" t="s">
        <v>22</v>
      </c>
      <c r="L937" s="1">
        <v>6094.16</v>
      </c>
      <c r="M937" s="1">
        <v>3</v>
      </c>
      <c r="N937" s="1">
        <v>0</v>
      </c>
      <c r="O937" s="1">
        <v>18282.48</v>
      </c>
      <c r="P937" s="1">
        <v>6258.45</v>
      </c>
    </row>
    <row r="938" spans="1:16" x14ac:dyDescent="0.3">
      <c r="A938" s="1" t="s">
        <v>957</v>
      </c>
      <c r="B938" s="2">
        <v>45845</v>
      </c>
      <c r="C938" s="2" t="str">
        <f>TEXT(E_Commerce_data[[#This Row],[order_date]],"MMM")</f>
        <v>Jul</v>
      </c>
      <c r="D938" s="1" t="s">
        <v>329</v>
      </c>
      <c r="E938" s="1" t="s">
        <v>330</v>
      </c>
      <c r="F938" s="1" t="s">
        <v>31</v>
      </c>
      <c r="G938" s="1" t="s">
        <v>32</v>
      </c>
      <c r="H938" s="2">
        <v>45275</v>
      </c>
      <c r="I938" s="1" t="s">
        <v>900</v>
      </c>
      <c r="J938" s="1" t="s">
        <v>901</v>
      </c>
      <c r="K938" s="1" t="s">
        <v>902</v>
      </c>
      <c r="L938" s="1">
        <v>42988.79</v>
      </c>
      <c r="M938" s="1">
        <v>5</v>
      </c>
      <c r="N938" s="1">
        <v>0.15</v>
      </c>
      <c r="O938" s="1">
        <v>182702.36</v>
      </c>
      <c r="P938" s="1">
        <v>59866.46</v>
      </c>
    </row>
    <row r="939" spans="1:16" x14ac:dyDescent="0.3">
      <c r="A939" s="1" t="s">
        <v>1252</v>
      </c>
      <c r="B939" s="2">
        <v>45535</v>
      </c>
      <c r="C939" s="2" t="str">
        <f>TEXT(E_Commerce_data[[#This Row],[order_date]],"MMM")</f>
        <v>Aug</v>
      </c>
      <c r="D939" s="1" t="s">
        <v>573</v>
      </c>
      <c r="E939" s="1" t="s">
        <v>574</v>
      </c>
      <c r="F939" s="1" t="s">
        <v>36</v>
      </c>
      <c r="G939" s="1" t="s">
        <v>32</v>
      </c>
      <c r="H939" s="2">
        <v>45540</v>
      </c>
      <c r="I939" s="1" t="s">
        <v>1162</v>
      </c>
      <c r="J939" s="1" t="s">
        <v>1163</v>
      </c>
      <c r="K939" s="1" t="s">
        <v>902</v>
      </c>
      <c r="L939" s="1">
        <v>10751.13</v>
      </c>
      <c r="M939" s="1">
        <v>3</v>
      </c>
      <c r="N939" s="1">
        <v>0.15</v>
      </c>
      <c r="O939" s="1">
        <v>27415.38</v>
      </c>
      <c r="P939" s="1">
        <v>3686.19</v>
      </c>
    </row>
    <row r="940" spans="1:16" x14ac:dyDescent="0.3">
      <c r="A940" s="1" t="s">
        <v>756</v>
      </c>
      <c r="B940" s="2">
        <v>45854</v>
      </c>
      <c r="C940" s="2" t="str">
        <f>TEXT(E_Commerce_data[[#This Row],[order_date]],"MMM")</f>
        <v>Jul</v>
      </c>
      <c r="D940" s="1" t="s">
        <v>206</v>
      </c>
      <c r="E940" s="1" t="s">
        <v>207</v>
      </c>
      <c r="F940" s="1" t="s">
        <v>72</v>
      </c>
      <c r="G940" s="1" t="s">
        <v>48</v>
      </c>
      <c r="H940" s="2">
        <v>45625</v>
      </c>
      <c r="I940" s="1" t="s">
        <v>706</v>
      </c>
      <c r="J940" s="1" t="s">
        <v>707</v>
      </c>
      <c r="K940" s="1" t="s">
        <v>560</v>
      </c>
      <c r="L940" s="1">
        <v>31573.59</v>
      </c>
      <c r="M940" s="1">
        <v>1</v>
      </c>
      <c r="N940" s="1">
        <v>0</v>
      </c>
      <c r="O940" s="1">
        <v>31573.59</v>
      </c>
      <c r="P940" s="1">
        <v>5300.28</v>
      </c>
    </row>
    <row r="941" spans="1:16" x14ac:dyDescent="0.3">
      <c r="A941" s="1" t="s">
        <v>1029</v>
      </c>
      <c r="B941" s="2">
        <v>45295</v>
      </c>
      <c r="C941" s="2" t="str">
        <f>TEXT(E_Commerce_data[[#This Row],[order_date]],"MMM")</f>
        <v>Jan</v>
      </c>
      <c r="D941" s="1" t="s">
        <v>132</v>
      </c>
      <c r="E941" s="1" t="s">
        <v>133</v>
      </c>
      <c r="F941" s="1" t="s">
        <v>76</v>
      </c>
      <c r="G941" s="1" t="s">
        <v>32</v>
      </c>
      <c r="H941" s="2">
        <v>45359</v>
      </c>
      <c r="I941" s="1" t="s">
        <v>964</v>
      </c>
      <c r="J941" s="1" t="s">
        <v>965</v>
      </c>
      <c r="K941" s="1" t="s">
        <v>902</v>
      </c>
      <c r="L941" s="1">
        <v>3589.32</v>
      </c>
      <c r="M941" s="1">
        <v>4</v>
      </c>
      <c r="N941" s="1">
        <v>0</v>
      </c>
      <c r="O941" s="1">
        <v>14357.28</v>
      </c>
      <c r="P941" s="1">
        <v>952.63</v>
      </c>
    </row>
    <row r="942" spans="1:16" x14ac:dyDescent="0.3">
      <c r="A942" s="1" t="s">
        <v>892</v>
      </c>
      <c r="B942" s="2">
        <v>45969</v>
      </c>
      <c r="C942" s="2" t="str">
        <f>TEXT(E_Commerce_data[[#This Row],[order_date]],"MMM")</f>
        <v>Nov</v>
      </c>
      <c r="D942" s="1" t="s">
        <v>41</v>
      </c>
      <c r="E942" s="1" t="s">
        <v>42</v>
      </c>
      <c r="F942" s="1" t="s">
        <v>43</v>
      </c>
      <c r="G942" s="1" t="s">
        <v>32</v>
      </c>
      <c r="H942" s="2">
        <v>45020</v>
      </c>
      <c r="I942" s="1" t="s">
        <v>822</v>
      </c>
      <c r="J942" s="1" t="s">
        <v>823</v>
      </c>
      <c r="K942" s="1" t="s">
        <v>560</v>
      </c>
      <c r="L942" s="1">
        <v>45275.73</v>
      </c>
      <c r="M942" s="1">
        <v>4</v>
      </c>
      <c r="N942" s="1">
        <v>0</v>
      </c>
      <c r="O942" s="1">
        <v>181102.92</v>
      </c>
      <c r="P942" s="1">
        <v>25058.28</v>
      </c>
    </row>
    <row r="943" spans="1:16" x14ac:dyDescent="0.3">
      <c r="A943" s="1" t="s">
        <v>484</v>
      </c>
      <c r="B943" s="2">
        <v>45318</v>
      </c>
      <c r="C943" s="2" t="str">
        <f>TEXT(E_Commerce_data[[#This Row],[order_date]],"MMM")</f>
        <v>Jan</v>
      </c>
      <c r="D943" s="1" t="s">
        <v>179</v>
      </c>
      <c r="E943" s="1" t="s">
        <v>180</v>
      </c>
      <c r="F943" s="1" t="s">
        <v>47</v>
      </c>
      <c r="G943" s="1" t="s">
        <v>48</v>
      </c>
      <c r="H943" s="2">
        <v>45337</v>
      </c>
      <c r="I943" s="1" t="s">
        <v>420</v>
      </c>
      <c r="J943" s="1" t="s">
        <v>421</v>
      </c>
      <c r="K943" s="1" t="s">
        <v>22</v>
      </c>
      <c r="L943" s="1">
        <v>29436.02</v>
      </c>
      <c r="M943" s="1">
        <v>5</v>
      </c>
      <c r="N943" s="1">
        <v>0.05</v>
      </c>
      <c r="O943" s="1">
        <v>139821.1</v>
      </c>
      <c r="P943" s="1">
        <v>15366.68</v>
      </c>
    </row>
    <row r="944" spans="1:16" x14ac:dyDescent="0.3">
      <c r="A944" s="1" t="s">
        <v>757</v>
      </c>
      <c r="B944" s="2">
        <v>45375</v>
      </c>
      <c r="C944" s="2" t="str">
        <f>TEXT(E_Commerce_data[[#This Row],[order_date]],"MMM")</f>
        <v>Mar</v>
      </c>
      <c r="D944" s="1" t="s">
        <v>66</v>
      </c>
      <c r="E944" s="1" t="s">
        <v>67</v>
      </c>
      <c r="F944" s="1" t="s">
        <v>18</v>
      </c>
      <c r="G944" s="1" t="s">
        <v>19</v>
      </c>
      <c r="H944" s="2">
        <v>45657</v>
      </c>
      <c r="I944" s="1" t="s">
        <v>706</v>
      </c>
      <c r="J944" s="1" t="s">
        <v>707</v>
      </c>
      <c r="K944" s="1" t="s">
        <v>560</v>
      </c>
      <c r="L944" s="1">
        <v>31573.59</v>
      </c>
      <c r="M944" s="1">
        <v>2</v>
      </c>
      <c r="N944" s="1">
        <v>0</v>
      </c>
      <c r="O944" s="1">
        <v>63147.18</v>
      </c>
      <c r="P944" s="1">
        <v>15247.34</v>
      </c>
    </row>
    <row r="945" spans="1:16" x14ac:dyDescent="0.3">
      <c r="A945" s="1" t="s">
        <v>958</v>
      </c>
      <c r="B945" s="2">
        <v>45699</v>
      </c>
      <c r="C945" s="2" t="str">
        <f>TEXT(E_Commerce_data[[#This Row],[order_date]],"MMM")</f>
        <v>Feb</v>
      </c>
      <c r="D945" s="1" t="s">
        <v>78</v>
      </c>
      <c r="E945" s="1" t="s">
        <v>79</v>
      </c>
      <c r="F945" s="1" t="s">
        <v>76</v>
      </c>
      <c r="G945" s="1" t="s">
        <v>32</v>
      </c>
      <c r="H945" s="2">
        <v>45365</v>
      </c>
      <c r="I945" s="1" t="s">
        <v>900</v>
      </c>
      <c r="J945" s="1" t="s">
        <v>901</v>
      </c>
      <c r="K945" s="1" t="s">
        <v>902</v>
      </c>
      <c r="L945" s="1">
        <v>42988.79</v>
      </c>
      <c r="M945" s="1">
        <v>4</v>
      </c>
      <c r="N945" s="1">
        <v>0.2</v>
      </c>
      <c r="O945" s="1">
        <v>137564.13</v>
      </c>
      <c r="P945" s="1">
        <v>11645.17</v>
      </c>
    </row>
    <row r="946" spans="1:16" x14ac:dyDescent="0.3">
      <c r="A946" s="1" t="s">
        <v>893</v>
      </c>
      <c r="B946" s="2">
        <v>45563</v>
      </c>
      <c r="C946" s="2" t="str">
        <f>TEXT(E_Commerce_data[[#This Row],[order_date]],"MMM")</f>
        <v>Sep</v>
      </c>
      <c r="D946" s="1" t="s">
        <v>514</v>
      </c>
      <c r="E946" s="1" t="s">
        <v>515</v>
      </c>
      <c r="F946" s="1" t="s">
        <v>18</v>
      </c>
      <c r="G946" s="1" t="s">
        <v>19</v>
      </c>
      <c r="H946" s="2">
        <v>45386</v>
      </c>
      <c r="I946" s="1" t="s">
        <v>822</v>
      </c>
      <c r="J946" s="1" t="s">
        <v>823</v>
      </c>
      <c r="K946" s="1" t="s">
        <v>560</v>
      </c>
      <c r="L946" s="1">
        <v>45275.73</v>
      </c>
      <c r="M946" s="1">
        <v>4</v>
      </c>
      <c r="N946" s="1">
        <v>0.05</v>
      </c>
      <c r="O946" s="1">
        <v>172047.77</v>
      </c>
      <c r="P946" s="1">
        <v>54790.89</v>
      </c>
    </row>
    <row r="947" spans="1:16" x14ac:dyDescent="0.3">
      <c r="A947" s="1" t="s">
        <v>629</v>
      </c>
      <c r="B947" s="2">
        <v>45481</v>
      </c>
      <c r="C947" s="2" t="str">
        <f>TEXT(E_Commerce_data[[#This Row],[order_date]],"MMM")</f>
        <v>Jul</v>
      </c>
      <c r="D947" s="1" t="s">
        <v>165</v>
      </c>
      <c r="E947" s="1" t="s">
        <v>166</v>
      </c>
      <c r="F947" s="1" t="s">
        <v>36</v>
      </c>
      <c r="G947" s="1" t="s">
        <v>32</v>
      </c>
      <c r="H947" s="2">
        <v>45039</v>
      </c>
      <c r="I947" s="1" t="s">
        <v>558</v>
      </c>
      <c r="J947" s="1" t="s">
        <v>559</v>
      </c>
      <c r="K947" s="1" t="s">
        <v>560</v>
      </c>
      <c r="L947" s="1">
        <v>11049.86</v>
      </c>
      <c r="M947" s="1">
        <v>1</v>
      </c>
      <c r="N947" s="1">
        <v>0.15</v>
      </c>
      <c r="O947" s="1">
        <v>9392.3799999999992</v>
      </c>
      <c r="P947" s="1">
        <v>2002.81</v>
      </c>
    </row>
    <row r="948" spans="1:16" x14ac:dyDescent="0.3">
      <c r="A948" s="1" t="s">
        <v>414</v>
      </c>
      <c r="B948" s="2">
        <v>45748</v>
      </c>
      <c r="C948" s="2" t="str">
        <f>TEXT(E_Commerce_data[[#This Row],[order_date]],"MMM")</f>
        <v>Apr</v>
      </c>
      <c r="D948" s="1" t="s">
        <v>415</v>
      </c>
      <c r="E948" s="1" t="s">
        <v>416</v>
      </c>
      <c r="F948" s="1" t="s">
        <v>26</v>
      </c>
      <c r="G948" s="1" t="s">
        <v>27</v>
      </c>
      <c r="H948" s="2">
        <v>45177</v>
      </c>
      <c r="I948" s="1" t="s">
        <v>315</v>
      </c>
      <c r="J948" s="1" t="s">
        <v>316</v>
      </c>
      <c r="K948" s="1" t="s">
        <v>22</v>
      </c>
      <c r="L948" s="1">
        <v>16937.37</v>
      </c>
      <c r="M948" s="1">
        <v>3</v>
      </c>
      <c r="N948" s="1">
        <v>0.05</v>
      </c>
      <c r="O948" s="1">
        <v>48271.5</v>
      </c>
      <c r="P948" s="1">
        <v>7763.05</v>
      </c>
    </row>
    <row r="949" spans="1:16" x14ac:dyDescent="0.3">
      <c r="A949" s="1" t="s">
        <v>817</v>
      </c>
      <c r="B949" s="2">
        <v>45561</v>
      </c>
      <c r="C949" s="2" t="str">
        <f>TEXT(E_Commerce_data[[#This Row],[order_date]],"MMM")</f>
        <v>Sep</v>
      </c>
      <c r="D949" s="1" t="s">
        <v>324</v>
      </c>
      <c r="E949" s="1" t="s">
        <v>325</v>
      </c>
      <c r="F949" s="1" t="s">
        <v>55</v>
      </c>
      <c r="G949" s="1" t="s">
        <v>27</v>
      </c>
      <c r="H949" s="2">
        <v>45473</v>
      </c>
      <c r="I949" s="1" t="s">
        <v>763</v>
      </c>
      <c r="J949" s="1" t="s">
        <v>764</v>
      </c>
      <c r="K949" s="1" t="s">
        <v>560</v>
      </c>
      <c r="L949" s="1">
        <v>11485.64</v>
      </c>
      <c r="M949" s="1">
        <v>1</v>
      </c>
      <c r="N949" s="1">
        <v>0</v>
      </c>
      <c r="O949" s="1">
        <v>11485.64</v>
      </c>
      <c r="P949" s="1">
        <v>2089.4899999999998</v>
      </c>
    </row>
    <row r="950" spans="1:16" x14ac:dyDescent="0.3">
      <c r="A950" s="1" t="s">
        <v>1253</v>
      </c>
      <c r="B950" s="2">
        <v>45355</v>
      </c>
      <c r="C950" s="2" t="str">
        <f>TEXT(E_Commerce_data[[#This Row],[order_date]],"MMM")</f>
        <v>Mar</v>
      </c>
      <c r="D950" s="1" t="s">
        <v>222</v>
      </c>
      <c r="E950" s="1" t="s">
        <v>223</v>
      </c>
      <c r="F950" s="1" t="s">
        <v>72</v>
      </c>
      <c r="G950" s="1" t="s">
        <v>48</v>
      </c>
      <c r="H950" s="2">
        <v>45014</v>
      </c>
      <c r="I950" s="1" t="s">
        <v>1162</v>
      </c>
      <c r="J950" s="1" t="s">
        <v>1163</v>
      </c>
      <c r="K950" s="1" t="s">
        <v>902</v>
      </c>
      <c r="L950" s="1">
        <v>10751.13</v>
      </c>
      <c r="M950" s="1">
        <v>2</v>
      </c>
      <c r="N950" s="1">
        <v>0.2</v>
      </c>
      <c r="O950" s="1">
        <v>17201.810000000001</v>
      </c>
      <c r="P950" s="1">
        <v>2246.02</v>
      </c>
    </row>
    <row r="951" spans="1:16" x14ac:dyDescent="0.3">
      <c r="A951" s="1" t="s">
        <v>1254</v>
      </c>
      <c r="B951" s="2">
        <v>45391</v>
      </c>
      <c r="C951" s="2" t="str">
        <f>TEXT(E_Commerce_data[[#This Row],[order_date]],"MMM")</f>
        <v>Apr</v>
      </c>
      <c r="D951" s="1" t="s">
        <v>255</v>
      </c>
      <c r="E951" s="1" t="s">
        <v>256</v>
      </c>
      <c r="F951" s="1" t="s">
        <v>26</v>
      </c>
      <c r="G951" s="1" t="s">
        <v>27</v>
      </c>
      <c r="H951" s="2">
        <v>45372</v>
      </c>
      <c r="I951" s="1" t="s">
        <v>1162</v>
      </c>
      <c r="J951" s="1" t="s">
        <v>1163</v>
      </c>
      <c r="K951" s="1" t="s">
        <v>902</v>
      </c>
      <c r="L951" s="1">
        <v>10751.13</v>
      </c>
      <c r="M951" s="1">
        <v>2</v>
      </c>
      <c r="N951" s="1">
        <v>0.2</v>
      </c>
      <c r="O951" s="1">
        <v>17201.810000000001</v>
      </c>
      <c r="P951" s="1">
        <v>4454.26</v>
      </c>
    </row>
    <row r="952" spans="1:16" x14ac:dyDescent="0.3">
      <c r="A952" s="1" t="s">
        <v>553</v>
      </c>
      <c r="B952" s="2">
        <v>45846</v>
      </c>
      <c r="C952" s="2" t="str">
        <f>TEXT(E_Commerce_data[[#This Row],[order_date]],"MMM")</f>
        <v>Jul</v>
      </c>
      <c r="D952" s="1" t="s">
        <v>284</v>
      </c>
      <c r="E952" s="1" t="s">
        <v>285</v>
      </c>
      <c r="F952" s="1" t="s">
        <v>47</v>
      </c>
      <c r="G952" s="1" t="s">
        <v>48</v>
      </c>
      <c r="H952" s="2">
        <v>45427</v>
      </c>
      <c r="I952" s="1" t="s">
        <v>489</v>
      </c>
      <c r="J952" s="1" t="s">
        <v>490</v>
      </c>
      <c r="K952" s="1" t="s">
        <v>22</v>
      </c>
      <c r="L952" s="1">
        <v>11544.23</v>
      </c>
      <c r="M952" s="1">
        <v>1</v>
      </c>
      <c r="N952" s="1">
        <v>0.15</v>
      </c>
      <c r="O952" s="1">
        <v>9812.6</v>
      </c>
      <c r="P952" s="1">
        <v>1502.68</v>
      </c>
    </row>
    <row r="953" spans="1:16" x14ac:dyDescent="0.3">
      <c r="A953" s="1" t="s">
        <v>1255</v>
      </c>
      <c r="B953" s="2">
        <v>45858</v>
      </c>
      <c r="C953" s="2" t="str">
        <f>TEXT(E_Commerce_data[[#This Row],[order_date]],"MMM")</f>
        <v>Jul</v>
      </c>
      <c r="D953" s="1" t="s">
        <v>392</v>
      </c>
      <c r="E953" s="1" t="s">
        <v>393</v>
      </c>
      <c r="F953" s="1" t="s">
        <v>76</v>
      </c>
      <c r="G953" s="1" t="s">
        <v>32</v>
      </c>
      <c r="H953" s="2">
        <v>45197</v>
      </c>
      <c r="I953" s="1" t="s">
        <v>1162</v>
      </c>
      <c r="J953" s="1" t="s">
        <v>1163</v>
      </c>
      <c r="K953" s="1" t="s">
        <v>902</v>
      </c>
      <c r="L953" s="1">
        <v>10751.13</v>
      </c>
      <c r="M953" s="1">
        <v>4</v>
      </c>
      <c r="N953" s="1">
        <v>0.2</v>
      </c>
      <c r="O953" s="1">
        <v>34403.620000000003</v>
      </c>
      <c r="P953" s="1">
        <v>7806.8</v>
      </c>
    </row>
    <row r="954" spans="1:16" x14ac:dyDescent="0.3">
      <c r="A954" s="1" t="s">
        <v>554</v>
      </c>
      <c r="B954" s="2">
        <v>45827</v>
      </c>
      <c r="C954" s="2" t="str">
        <f>TEXT(E_Commerce_data[[#This Row],[order_date]],"MMM")</f>
        <v>Jun</v>
      </c>
      <c r="D954" s="1" t="s">
        <v>206</v>
      </c>
      <c r="E954" s="1" t="s">
        <v>207</v>
      </c>
      <c r="F954" s="1" t="s">
        <v>72</v>
      </c>
      <c r="G954" s="1" t="s">
        <v>48</v>
      </c>
      <c r="H954" s="2">
        <v>45625</v>
      </c>
      <c r="I954" s="1" t="s">
        <v>489</v>
      </c>
      <c r="J954" s="1" t="s">
        <v>490</v>
      </c>
      <c r="K954" s="1" t="s">
        <v>22</v>
      </c>
      <c r="L954" s="1">
        <v>11544.23</v>
      </c>
      <c r="M954" s="1">
        <v>1</v>
      </c>
      <c r="N954" s="1">
        <v>0.2</v>
      </c>
      <c r="O954" s="1">
        <v>9235.3799999999992</v>
      </c>
      <c r="P954" s="1">
        <v>1534.29</v>
      </c>
    </row>
    <row r="955" spans="1:16" x14ac:dyDescent="0.3">
      <c r="A955" s="1" t="s">
        <v>959</v>
      </c>
      <c r="B955" s="2">
        <v>45778</v>
      </c>
      <c r="C955" s="2" t="str">
        <f>TEXT(E_Commerce_data[[#This Row],[order_date]],"MMM")</f>
        <v>May</v>
      </c>
      <c r="D955" s="1" t="s">
        <v>449</v>
      </c>
      <c r="E955" s="1" t="s">
        <v>450</v>
      </c>
      <c r="F955" s="1" t="s">
        <v>93</v>
      </c>
      <c r="G955" s="1" t="s">
        <v>27</v>
      </c>
      <c r="H955" s="2">
        <v>45035</v>
      </c>
      <c r="I955" s="1" t="s">
        <v>900</v>
      </c>
      <c r="J955" s="1" t="s">
        <v>901</v>
      </c>
      <c r="K955" s="1" t="s">
        <v>902</v>
      </c>
      <c r="L955" s="1">
        <v>42988.79</v>
      </c>
      <c r="M955" s="1">
        <v>4</v>
      </c>
      <c r="N955" s="1">
        <v>0.1</v>
      </c>
      <c r="O955" s="1">
        <v>154759.64000000001</v>
      </c>
      <c r="P955" s="1">
        <v>39637.1</v>
      </c>
    </row>
    <row r="956" spans="1:16" x14ac:dyDescent="0.3">
      <c r="A956" s="1" t="s">
        <v>1156</v>
      </c>
      <c r="B956" s="2">
        <v>45372</v>
      </c>
      <c r="C956" s="2" t="str">
        <f>TEXT(E_Commerce_data[[#This Row],[order_date]],"MMM")</f>
        <v>Mar</v>
      </c>
      <c r="D956" s="1" t="s">
        <v>354</v>
      </c>
      <c r="E956" s="1" t="s">
        <v>355</v>
      </c>
      <c r="F956" s="1" t="s">
        <v>26</v>
      </c>
      <c r="G956" s="1" t="s">
        <v>27</v>
      </c>
      <c r="H956" s="2">
        <v>45582</v>
      </c>
      <c r="I956" s="1" t="s">
        <v>1102</v>
      </c>
      <c r="J956" s="1" t="s">
        <v>1103</v>
      </c>
      <c r="K956" s="1" t="s">
        <v>902</v>
      </c>
      <c r="L956" s="1">
        <v>33465.440000000002</v>
      </c>
      <c r="M956" s="1">
        <v>5</v>
      </c>
      <c r="N956" s="1">
        <v>0</v>
      </c>
      <c r="O956" s="1">
        <v>167327.20000000001</v>
      </c>
      <c r="P956" s="1">
        <v>32273.85</v>
      </c>
    </row>
    <row r="957" spans="1:16" x14ac:dyDescent="0.3">
      <c r="A957" s="1" t="s">
        <v>960</v>
      </c>
      <c r="B957" s="2">
        <v>45806</v>
      </c>
      <c r="C957" s="2" t="str">
        <f>TEXT(E_Commerce_data[[#This Row],[order_date]],"MMM")</f>
        <v>May</v>
      </c>
      <c r="D957" s="1" t="s">
        <v>514</v>
      </c>
      <c r="E957" s="1" t="s">
        <v>515</v>
      </c>
      <c r="F957" s="1" t="s">
        <v>18</v>
      </c>
      <c r="G957" s="1" t="s">
        <v>19</v>
      </c>
      <c r="H957" s="2">
        <v>45386</v>
      </c>
      <c r="I957" s="1" t="s">
        <v>900</v>
      </c>
      <c r="J957" s="1" t="s">
        <v>901</v>
      </c>
      <c r="K957" s="1" t="s">
        <v>902</v>
      </c>
      <c r="L957" s="1">
        <v>42988.79</v>
      </c>
      <c r="M957" s="1">
        <v>4</v>
      </c>
      <c r="N957" s="1">
        <v>0.2</v>
      </c>
      <c r="O957" s="1">
        <v>137564.13</v>
      </c>
      <c r="P957" s="1">
        <v>36357.06</v>
      </c>
    </row>
    <row r="958" spans="1:16" x14ac:dyDescent="0.3">
      <c r="A958" s="1" t="s">
        <v>700</v>
      </c>
      <c r="B958" s="2">
        <v>45985</v>
      </c>
      <c r="C958" s="2" t="str">
        <f>TEXT(E_Commerce_data[[#This Row],[order_date]],"MMM")</f>
        <v>Nov</v>
      </c>
      <c r="D958" s="1" t="s">
        <v>266</v>
      </c>
      <c r="E958" s="1" t="s">
        <v>267</v>
      </c>
      <c r="F958" s="1" t="s">
        <v>72</v>
      </c>
      <c r="G958" s="1" t="s">
        <v>48</v>
      </c>
      <c r="H958" s="2">
        <v>45316</v>
      </c>
      <c r="I958" s="1" t="s">
        <v>633</v>
      </c>
      <c r="J958" s="1" t="s">
        <v>634</v>
      </c>
      <c r="K958" s="1" t="s">
        <v>560</v>
      </c>
      <c r="L958" s="1">
        <v>3596.1</v>
      </c>
      <c r="M958" s="1">
        <v>5</v>
      </c>
      <c r="N958" s="1">
        <v>0.1</v>
      </c>
      <c r="O958" s="1">
        <v>16182.45</v>
      </c>
      <c r="P958" s="1">
        <v>4695.1000000000004</v>
      </c>
    </row>
    <row r="959" spans="1:16" x14ac:dyDescent="0.3">
      <c r="A959" s="1" t="s">
        <v>1256</v>
      </c>
      <c r="B959" s="2">
        <v>45751</v>
      </c>
      <c r="C959" s="2" t="str">
        <f>TEXT(E_Commerce_data[[#This Row],[order_date]],"MMM")</f>
        <v>Apr</v>
      </c>
      <c r="D959" s="1" t="s">
        <v>495</v>
      </c>
      <c r="E959" s="1" t="s">
        <v>496</v>
      </c>
      <c r="F959" s="1" t="s">
        <v>36</v>
      </c>
      <c r="G959" s="1" t="s">
        <v>32</v>
      </c>
      <c r="H959" s="2">
        <v>45623</v>
      </c>
      <c r="I959" s="1" t="s">
        <v>1162</v>
      </c>
      <c r="J959" s="1" t="s">
        <v>1163</v>
      </c>
      <c r="K959" s="1" t="s">
        <v>902</v>
      </c>
      <c r="L959" s="1">
        <v>10751.13</v>
      </c>
      <c r="M959" s="1">
        <v>5</v>
      </c>
      <c r="N959" s="1">
        <v>0</v>
      </c>
      <c r="O959" s="1">
        <v>53755.65</v>
      </c>
      <c r="P959" s="1">
        <v>4627.53</v>
      </c>
    </row>
    <row r="960" spans="1:16" x14ac:dyDescent="0.3">
      <c r="A960" s="1" t="s">
        <v>555</v>
      </c>
      <c r="B960" s="2">
        <v>45489</v>
      </c>
      <c r="C960" s="2" t="str">
        <f>TEXT(E_Commerce_data[[#This Row],[order_date]],"MMM")</f>
        <v>Jul</v>
      </c>
      <c r="D960" s="1" t="s">
        <v>53</v>
      </c>
      <c r="E960" s="1" t="s">
        <v>54</v>
      </c>
      <c r="F960" s="1" t="s">
        <v>55</v>
      </c>
      <c r="G960" s="1" t="s">
        <v>27</v>
      </c>
      <c r="H960" s="2">
        <v>45623</v>
      </c>
      <c r="I960" s="1" t="s">
        <v>489</v>
      </c>
      <c r="J960" s="1" t="s">
        <v>490</v>
      </c>
      <c r="K960" s="1" t="s">
        <v>22</v>
      </c>
      <c r="L960" s="1">
        <v>11544.23</v>
      </c>
      <c r="M960" s="1">
        <v>2</v>
      </c>
      <c r="N960" s="1">
        <v>0</v>
      </c>
      <c r="O960" s="1">
        <v>23088.46</v>
      </c>
      <c r="P960" s="1">
        <v>7888.16</v>
      </c>
    </row>
    <row r="961" spans="1:16" x14ac:dyDescent="0.3">
      <c r="A961" s="1" t="s">
        <v>818</v>
      </c>
      <c r="B961" s="2">
        <v>45991</v>
      </c>
      <c r="C961" s="2" t="str">
        <f>TEXT(E_Commerce_data[[#This Row],[order_date]],"MMM")</f>
        <v>Nov</v>
      </c>
      <c r="D961" s="1" t="s">
        <v>45</v>
      </c>
      <c r="E961" s="1" t="s">
        <v>46</v>
      </c>
      <c r="F961" s="1" t="s">
        <v>47</v>
      </c>
      <c r="G961" s="1" t="s">
        <v>48</v>
      </c>
      <c r="H961" s="2">
        <v>45290</v>
      </c>
      <c r="I961" s="1" t="s">
        <v>763</v>
      </c>
      <c r="J961" s="1" t="s">
        <v>764</v>
      </c>
      <c r="K961" s="1" t="s">
        <v>560</v>
      </c>
      <c r="L961" s="1">
        <v>11485.64</v>
      </c>
      <c r="M961" s="1">
        <v>2</v>
      </c>
      <c r="N961" s="1">
        <v>0</v>
      </c>
      <c r="O961" s="1">
        <v>22971.279999999999</v>
      </c>
      <c r="P961" s="1">
        <v>4066.2</v>
      </c>
    </row>
    <row r="962" spans="1:16" x14ac:dyDescent="0.3">
      <c r="A962" s="1" t="s">
        <v>894</v>
      </c>
      <c r="B962" s="2">
        <v>45934</v>
      </c>
      <c r="C962" s="2" t="str">
        <f>TEXT(E_Commerce_data[[#This Row],[order_date]],"MMM")</f>
        <v>Oct</v>
      </c>
      <c r="D962" s="1" t="s">
        <v>57</v>
      </c>
      <c r="E962" s="1" t="s">
        <v>58</v>
      </c>
      <c r="F962" s="1" t="s">
        <v>55</v>
      </c>
      <c r="G962" s="1" t="s">
        <v>27</v>
      </c>
      <c r="H962" s="2">
        <v>45391</v>
      </c>
      <c r="I962" s="1" t="s">
        <v>822</v>
      </c>
      <c r="J962" s="1" t="s">
        <v>823</v>
      </c>
      <c r="K962" s="1" t="s">
        <v>560</v>
      </c>
      <c r="L962" s="1">
        <v>45275.73</v>
      </c>
      <c r="M962" s="1">
        <v>4</v>
      </c>
      <c r="N962" s="1">
        <v>0</v>
      </c>
      <c r="O962" s="1">
        <v>181102.92</v>
      </c>
      <c r="P962" s="1">
        <v>63237.66</v>
      </c>
    </row>
    <row r="963" spans="1:16" x14ac:dyDescent="0.3">
      <c r="A963" s="1" t="s">
        <v>961</v>
      </c>
      <c r="B963" s="2">
        <v>45619</v>
      </c>
      <c r="C963" s="2" t="str">
        <f>TEXT(E_Commerce_data[[#This Row],[order_date]],"MMM")</f>
        <v>Nov</v>
      </c>
      <c r="D963" s="1" t="s">
        <v>354</v>
      </c>
      <c r="E963" s="1" t="s">
        <v>355</v>
      </c>
      <c r="F963" s="1" t="s">
        <v>26</v>
      </c>
      <c r="G963" s="1" t="s">
        <v>27</v>
      </c>
      <c r="H963" s="2">
        <v>45582</v>
      </c>
      <c r="I963" s="1" t="s">
        <v>900</v>
      </c>
      <c r="J963" s="1" t="s">
        <v>901</v>
      </c>
      <c r="K963" s="1" t="s">
        <v>902</v>
      </c>
      <c r="L963" s="1">
        <v>42988.79</v>
      </c>
      <c r="M963" s="1">
        <v>2</v>
      </c>
      <c r="N963" s="1">
        <v>0.2</v>
      </c>
      <c r="O963" s="1">
        <v>68782.06</v>
      </c>
      <c r="P963" s="1">
        <v>15717.68</v>
      </c>
    </row>
    <row r="964" spans="1:16" x14ac:dyDescent="0.3">
      <c r="A964" s="1" t="s">
        <v>758</v>
      </c>
      <c r="B964" s="2">
        <v>45698</v>
      </c>
      <c r="C964" s="2" t="str">
        <f>TEXT(E_Commerce_data[[#This Row],[order_date]],"MMM")</f>
        <v>Feb</v>
      </c>
      <c r="D964" s="1" t="s">
        <v>366</v>
      </c>
      <c r="E964" s="1" t="s">
        <v>367</v>
      </c>
      <c r="F964" s="1" t="s">
        <v>47</v>
      </c>
      <c r="G964" s="1" t="s">
        <v>48</v>
      </c>
      <c r="H964" s="2">
        <v>45144</v>
      </c>
      <c r="I964" s="1" t="s">
        <v>706</v>
      </c>
      <c r="J964" s="1" t="s">
        <v>707</v>
      </c>
      <c r="K964" s="1" t="s">
        <v>560</v>
      </c>
      <c r="L964" s="1">
        <v>31573.59</v>
      </c>
      <c r="M964" s="1">
        <v>1</v>
      </c>
      <c r="N964" s="1">
        <v>0</v>
      </c>
      <c r="O964" s="1">
        <v>31573.59</v>
      </c>
      <c r="P964" s="1">
        <v>5254.78</v>
      </c>
    </row>
    <row r="965" spans="1:16" x14ac:dyDescent="0.3">
      <c r="A965" s="1" t="s">
        <v>1257</v>
      </c>
      <c r="B965" s="2">
        <v>45824</v>
      </c>
      <c r="C965" s="2" t="str">
        <f>TEXT(E_Commerce_data[[#This Row],[order_date]],"MMM")</f>
        <v>Jun</v>
      </c>
      <c r="D965" s="1" t="s">
        <v>159</v>
      </c>
      <c r="E965" s="1" t="s">
        <v>160</v>
      </c>
      <c r="F965" s="1" t="s">
        <v>76</v>
      </c>
      <c r="G965" s="1" t="s">
        <v>32</v>
      </c>
      <c r="H965" s="2">
        <v>45211</v>
      </c>
      <c r="I965" s="1" t="s">
        <v>1162</v>
      </c>
      <c r="J965" s="1" t="s">
        <v>1163</v>
      </c>
      <c r="K965" s="1" t="s">
        <v>902</v>
      </c>
      <c r="L965" s="1">
        <v>10751.13</v>
      </c>
      <c r="M965" s="1">
        <v>5</v>
      </c>
      <c r="N965" s="1">
        <v>0</v>
      </c>
      <c r="O965" s="1">
        <v>53755.65</v>
      </c>
      <c r="P965" s="1">
        <v>16502.3</v>
      </c>
    </row>
    <row r="966" spans="1:16" x14ac:dyDescent="0.3">
      <c r="A966" s="1" t="s">
        <v>962</v>
      </c>
      <c r="B966" s="2">
        <v>46009</v>
      </c>
      <c r="C966" s="2" t="str">
        <f>TEXT(E_Commerce_data[[#This Row],[order_date]],"MMM")</f>
        <v>Dec</v>
      </c>
      <c r="D966" s="1" t="s">
        <v>99</v>
      </c>
      <c r="E966" s="1" t="s">
        <v>100</v>
      </c>
      <c r="F966" s="1" t="s">
        <v>43</v>
      </c>
      <c r="G966" s="1" t="s">
        <v>32</v>
      </c>
      <c r="H966" s="2">
        <v>45468</v>
      </c>
      <c r="I966" s="1" t="s">
        <v>900</v>
      </c>
      <c r="J966" s="1" t="s">
        <v>901</v>
      </c>
      <c r="K966" s="1" t="s">
        <v>902</v>
      </c>
      <c r="L966" s="1">
        <v>42988.79</v>
      </c>
      <c r="M966" s="1">
        <v>4</v>
      </c>
      <c r="N966" s="1">
        <v>0.2</v>
      </c>
      <c r="O966" s="1">
        <v>137564.13</v>
      </c>
      <c r="P966" s="1">
        <v>7388.45</v>
      </c>
    </row>
    <row r="967" spans="1:16" x14ac:dyDescent="0.3">
      <c r="A967" s="1" t="s">
        <v>1030</v>
      </c>
      <c r="B967" s="2">
        <v>45721</v>
      </c>
      <c r="C967" s="2" t="str">
        <f>TEXT(E_Commerce_data[[#This Row],[order_date]],"MMM")</f>
        <v>Mar</v>
      </c>
      <c r="D967" s="1" t="s">
        <v>212</v>
      </c>
      <c r="E967" s="1" t="s">
        <v>213</v>
      </c>
      <c r="F967" s="1" t="s">
        <v>18</v>
      </c>
      <c r="G967" s="1" t="s">
        <v>19</v>
      </c>
      <c r="H967" s="2">
        <v>45613</v>
      </c>
      <c r="I967" s="1" t="s">
        <v>964</v>
      </c>
      <c r="J967" s="1" t="s">
        <v>965</v>
      </c>
      <c r="K967" s="1" t="s">
        <v>902</v>
      </c>
      <c r="L967" s="1">
        <v>3589.32</v>
      </c>
      <c r="M967" s="1">
        <v>5</v>
      </c>
      <c r="N967" s="1">
        <v>0.1</v>
      </c>
      <c r="O967" s="1">
        <v>16151.94</v>
      </c>
      <c r="P967" s="1">
        <v>3339.71</v>
      </c>
    </row>
    <row r="968" spans="1:16" x14ac:dyDescent="0.3">
      <c r="A968" s="1" t="s">
        <v>701</v>
      </c>
      <c r="B968" s="2">
        <v>45872</v>
      </c>
      <c r="C968" s="2" t="str">
        <f>TEXT(E_Commerce_data[[#This Row],[order_date]],"MMM")</f>
        <v>Aug</v>
      </c>
      <c r="D968" s="1" t="s">
        <v>361</v>
      </c>
      <c r="E968" s="1" t="s">
        <v>362</v>
      </c>
      <c r="F968" s="1" t="s">
        <v>93</v>
      </c>
      <c r="G968" s="1" t="s">
        <v>27</v>
      </c>
      <c r="H968" s="2">
        <v>45227</v>
      </c>
      <c r="I968" s="1" t="s">
        <v>633</v>
      </c>
      <c r="J968" s="1" t="s">
        <v>634</v>
      </c>
      <c r="K968" s="1" t="s">
        <v>560</v>
      </c>
      <c r="L968" s="1">
        <v>3596.1</v>
      </c>
      <c r="M968" s="1">
        <v>1</v>
      </c>
      <c r="N968" s="1">
        <v>0.05</v>
      </c>
      <c r="O968" s="1">
        <v>3416.29</v>
      </c>
      <c r="P968" s="1">
        <v>324.18</v>
      </c>
    </row>
    <row r="969" spans="1:16" x14ac:dyDescent="0.3">
      <c r="A969" s="1" t="s">
        <v>1258</v>
      </c>
      <c r="B969" s="2">
        <v>45394</v>
      </c>
      <c r="C969" s="2" t="str">
        <f>TEXT(E_Commerce_data[[#This Row],[order_date]],"MMM")</f>
        <v>Apr</v>
      </c>
      <c r="D969" s="1" t="s">
        <v>41</v>
      </c>
      <c r="E969" s="1" t="s">
        <v>42</v>
      </c>
      <c r="F969" s="1" t="s">
        <v>43</v>
      </c>
      <c r="G969" s="1" t="s">
        <v>32</v>
      </c>
      <c r="H969" s="2">
        <v>45020</v>
      </c>
      <c r="I969" s="1" t="s">
        <v>1162</v>
      </c>
      <c r="J969" s="1" t="s">
        <v>1163</v>
      </c>
      <c r="K969" s="1" t="s">
        <v>902</v>
      </c>
      <c r="L969" s="1">
        <v>10751.13</v>
      </c>
      <c r="M969" s="1">
        <v>5</v>
      </c>
      <c r="N969" s="1">
        <v>0.1</v>
      </c>
      <c r="O969" s="1">
        <v>48380.08</v>
      </c>
      <c r="P969" s="1">
        <v>13426.11</v>
      </c>
    </row>
    <row r="970" spans="1:16" x14ac:dyDescent="0.3">
      <c r="A970" s="1" t="s">
        <v>556</v>
      </c>
      <c r="B970" s="2">
        <v>45584</v>
      </c>
      <c r="C970" s="2" t="str">
        <f>TEXT(E_Commerce_data[[#This Row],[order_date]],"MMM")</f>
        <v>Oct</v>
      </c>
      <c r="D970" s="1" t="s">
        <v>45</v>
      </c>
      <c r="E970" s="1" t="s">
        <v>46</v>
      </c>
      <c r="F970" s="1" t="s">
        <v>47</v>
      </c>
      <c r="G970" s="1" t="s">
        <v>48</v>
      </c>
      <c r="H970" s="2">
        <v>45290</v>
      </c>
      <c r="I970" s="1" t="s">
        <v>489</v>
      </c>
      <c r="J970" s="1" t="s">
        <v>490</v>
      </c>
      <c r="K970" s="1" t="s">
        <v>22</v>
      </c>
      <c r="L970" s="1">
        <v>11544.23</v>
      </c>
      <c r="M970" s="1">
        <v>1</v>
      </c>
      <c r="N970" s="1">
        <v>0.1</v>
      </c>
      <c r="O970" s="1">
        <v>10389.81</v>
      </c>
      <c r="P970" s="1">
        <v>2949.29</v>
      </c>
    </row>
    <row r="971" spans="1:16" x14ac:dyDescent="0.3">
      <c r="A971" s="1" t="s">
        <v>1157</v>
      </c>
      <c r="B971" s="2">
        <v>45562</v>
      </c>
      <c r="C971" s="2" t="str">
        <f>TEXT(E_Commerce_data[[#This Row],[order_date]],"MMM")</f>
        <v>Sep</v>
      </c>
      <c r="D971" s="1" t="s">
        <v>222</v>
      </c>
      <c r="E971" s="1" t="s">
        <v>223</v>
      </c>
      <c r="F971" s="1" t="s">
        <v>72</v>
      </c>
      <c r="G971" s="1" t="s">
        <v>48</v>
      </c>
      <c r="H971" s="2">
        <v>45014</v>
      </c>
      <c r="I971" s="1" t="s">
        <v>1102</v>
      </c>
      <c r="J971" s="1" t="s">
        <v>1103</v>
      </c>
      <c r="K971" s="1" t="s">
        <v>902</v>
      </c>
      <c r="L971" s="1">
        <v>33465.440000000002</v>
      </c>
      <c r="M971" s="1">
        <v>5</v>
      </c>
      <c r="N971" s="1">
        <v>0</v>
      </c>
      <c r="O971" s="1">
        <v>167327.20000000001</v>
      </c>
      <c r="P971" s="1">
        <v>52435</v>
      </c>
    </row>
    <row r="972" spans="1:16" x14ac:dyDescent="0.3">
      <c r="A972" s="1" t="s">
        <v>895</v>
      </c>
      <c r="B972" s="2">
        <v>45915</v>
      </c>
      <c r="C972" s="2" t="str">
        <f>TEXT(E_Commerce_data[[#This Row],[order_date]],"MMM")</f>
        <v>Sep</v>
      </c>
      <c r="D972" s="1" t="s">
        <v>519</v>
      </c>
      <c r="E972" s="1" t="s">
        <v>520</v>
      </c>
      <c r="F972" s="1" t="s">
        <v>55</v>
      </c>
      <c r="G972" s="1" t="s">
        <v>27</v>
      </c>
      <c r="H972" s="2">
        <v>45198</v>
      </c>
      <c r="I972" s="1" t="s">
        <v>822</v>
      </c>
      <c r="J972" s="1" t="s">
        <v>823</v>
      </c>
      <c r="K972" s="1" t="s">
        <v>560</v>
      </c>
      <c r="L972" s="1">
        <v>45275.73</v>
      </c>
      <c r="M972" s="1">
        <v>4</v>
      </c>
      <c r="N972" s="1">
        <v>0.15</v>
      </c>
      <c r="O972" s="1">
        <v>153937.48000000001</v>
      </c>
      <c r="P972" s="1">
        <v>30121.78</v>
      </c>
    </row>
    <row r="973" spans="1:16" x14ac:dyDescent="0.3">
      <c r="A973" s="1" t="s">
        <v>630</v>
      </c>
      <c r="B973" s="2">
        <v>45704</v>
      </c>
      <c r="C973" s="2" t="str">
        <f>TEXT(E_Commerce_data[[#This Row],[order_date]],"MMM")</f>
        <v>Feb</v>
      </c>
      <c r="D973" s="1" t="s">
        <v>269</v>
      </c>
      <c r="E973" s="1" t="s">
        <v>270</v>
      </c>
      <c r="F973" s="1" t="s">
        <v>18</v>
      </c>
      <c r="G973" s="1" t="s">
        <v>19</v>
      </c>
      <c r="H973" s="2">
        <v>45271</v>
      </c>
      <c r="I973" s="1" t="s">
        <v>558</v>
      </c>
      <c r="J973" s="1" t="s">
        <v>559</v>
      </c>
      <c r="K973" s="1" t="s">
        <v>560</v>
      </c>
      <c r="L973" s="1">
        <v>11049.86</v>
      </c>
      <c r="M973" s="1">
        <v>4</v>
      </c>
      <c r="N973" s="1">
        <v>0</v>
      </c>
      <c r="O973" s="1">
        <v>44199.44</v>
      </c>
      <c r="P973" s="1">
        <v>4493.3100000000004</v>
      </c>
    </row>
    <row r="974" spans="1:16" x14ac:dyDescent="0.3">
      <c r="A974" s="1" t="s">
        <v>702</v>
      </c>
      <c r="B974" s="2">
        <v>46002</v>
      </c>
      <c r="C974" s="2" t="str">
        <f>TEXT(E_Commerce_data[[#This Row],[order_date]],"MMM")</f>
        <v>Dec</v>
      </c>
      <c r="D974" s="1" t="s">
        <v>125</v>
      </c>
      <c r="E974" s="1" t="s">
        <v>126</v>
      </c>
      <c r="F974" s="1" t="s">
        <v>72</v>
      </c>
      <c r="G974" s="1" t="s">
        <v>48</v>
      </c>
      <c r="H974" s="2">
        <v>44952</v>
      </c>
      <c r="I974" s="1" t="s">
        <v>633</v>
      </c>
      <c r="J974" s="1" t="s">
        <v>634</v>
      </c>
      <c r="K974" s="1" t="s">
        <v>560</v>
      </c>
      <c r="L974" s="1">
        <v>3596.1</v>
      </c>
      <c r="M974" s="1">
        <v>2</v>
      </c>
      <c r="N974" s="1">
        <v>0.1</v>
      </c>
      <c r="O974" s="1">
        <v>6472.98</v>
      </c>
      <c r="P974" s="1">
        <v>1505.59</v>
      </c>
    </row>
    <row r="975" spans="1:16" x14ac:dyDescent="0.3">
      <c r="A975" s="1" t="s">
        <v>417</v>
      </c>
      <c r="B975" s="2">
        <v>45631</v>
      </c>
      <c r="C975" s="2" t="str">
        <f>TEXT(E_Commerce_data[[#This Row],[order_date]],"MMM")</f>
        <v>Dec</v>
      </c>
      <c r="D975" s="1" t="s">
        <v>341</v>
      </c>
      <c r="E975" s="1" t="s">
        <v>342</v>
      </c>
      <c r="F975" s="1" t="s">
        <v>93</v>
      </c>
      <c r="G975" s="1" t="s">
        <v>27</v>
      </c>
      <c r="H975" s="2">
        <v>45633</v>
      </c>
      <c r="I975" s="1" t="s">
        <v>315</v>
      </c>
      <c r="J975" s="1" t="s">
        <v>316</v>
      </c>
      <c r="K975" s="1" t="s">
        <v>22</v>
      </c>
      <c r="L975" s="1">
        <v>16937.37</v>
      </c>
      <c r="M975" s="1">
        <v>4</v>
      </c>
      <c r="N975" s="1">
        <v>0</v>
      </c>
      <c r="O975" s="1">
        <v>67749.48</v>
      </c>
      <c r="P975" s="1">
        <v>11431.9</v>
      </c>
    </row>
    <row r="976" spans="1:16" x14ac:dyDescent="0.3">
      <c r="A976" s="1" t="s">
        <v>1031</v>
      </c>
      <c r="B976" s="2">
        <v>45567</v>
      </c>
      <c r="C976" s="2" t="str">
        <f>TEXT(E_Commerce_data[[#This Row],[order_date]],"MMM")</f>
        <v>Oct</v>
      </c>
      <c r="D976" s="1" t="s">
        <v>50</v>
      </c>
      <c r="E976" s="1" t="s">
        <v>51</v>
      </c>
      <c r="F976" s="1" t="s">
        <v>47</v>
      </c>
      <c r="G976" s="1" t="s">
        <v>48</v>
      </c>
      <c r="H976" s="2">
        <v>45041</v>
      </c>
      <c r="I976" s="1" t="s">
        <v>964</v>
      </c>
      <c r="J976" s="1" t="s">
        <v>965</v>
      </c>
      <c r="K976" s="1" t="s">
        <v>902</v>
      </c>
      <c r="L976" s="1">
        <v>3589.32</v>
      </c>
      <c r="M976" s="1">
        <v>2</v>
      </c>
      <c r="N976" s="1">
        <v>0</v>
      </c>
      <c r="O976" s="1">
        <v>7178.64</v>
      </c>
      <c r="P976" s="1">
        <v>1964.97</v>
      </c>
    </row>
    <row r="977" spans="1:16" x14ac:dyDescent="0.3">
      <c r="A977" s="1" t="s">
        <v>759</v>
      </c>
      <c r="B977" s="2">
        <v>45602</v>
      </c>
      <c r="C977" s="2" t="str">
        <f>TEXT(E_Commerce_data[[#This Row],[order_date]],"MMM")</f>
        <v>Nov</v>
      </c>
      <c r="D977" s="1" t="s">
        <v>495</v>
      </c>
      <c r="E977" s="1" t="s">
        <v>496</v>
      </c>
      <c r="F977" s="1" t="s">
        <v>36</v>
      </c>
      <c r="G977" s="1" t="s">
        <v>32</v>
      </c>
      <c r="H977" s="2">
        <v>45623</v>
      </c>
      <c r="I977" s="1" t="s">
        <v>706</v>
      </c>
      <c r="J977" s="1" t="s">
        <v>707</v>
      </c>
      <c r="K977" s="1" t="s">
        <v>560</v>
      </c>
      <c r="L977" s="1">
        <v>31573.59</v>
      </c>
      <c r="M977" s="1">
        <v>3</v>
      </c>
      <c r="N977" s="1">
        <v>0</v>
      </c>
      <c r="O977" s="1">
        <v>94720.77</v>
      </c>
      <c r="P977" s="1">
        <v>14336.92</v>
      </c>
    </row>
    <row r="978" spans="1:16" x14ac:dyDescent="0.3">
      <c r="A978" s="1" t="s">
        <v>1158</v>
      </c>
      <c r="B978" s="2">
        <v>46004</v>
      </c>
      <c r="C978" s="2" t="str">
        <f>TEXT(E_Commerce_data[[#This Row],[order_date]],"MMM")</f>
        <v>Dec</v>
      </c>
      <c r="D978" s="1" t="s">
        <v>329</v>
      </c>
      <c r="E978" s="1" t="s">
        <v>330</v>
      </c>
      <c r="F978" s="1" t="s">
        <v>31</v>
      </c>
      <c r="G978" s="1" t="s">
        <v>32</v>
      </c>
      <c r="H978" s="2">
        <v>45275</v>
      </c>
      <c r="I978" s="1" t="s">
        <v>1102</v>
      </c>
      <c r="J978" s="1" t="s">
        <v>1103</v>
      </c>
      <c r="K978" s="1" t="s">
        <v>902</v>
      </c>
      <c r="L978" s="1">
        <v>33465.440000000002</v>
      </c>
      <c r="M978" s="1">
        <v>3</v>
      </c>
      <c r="N978" s="1">
        <v>0</v>
      </c>
      <c r="O978" s="1">
        <v>100396.32</v>
      </c>
      <c r="P978" s="1">
        <v>30405.42</v>
      </c>
    </row>
    <row r="979" spans="1:16" x14ac:dyDescent="0.3">
      <c r="A979" s="1" t="s">
        <v>896</v>
      </c>
      <c r="B979" s="2">
        <v>45599</v>
      </c>
      <c r="C979" s="2" t="str">
        <f>TEXT(E_Commerce_data[[#This Row],[order_date]],"MMM")</f>
        <v>Nov</v>
      </c>
      <c r="D979" s="1" t="s">
        <v>132</v>
      </c>
      <c r="E979" s="1" t="s">
        <v>133</v>
      </c>
      <c r="F979" s="1" t="s">
        <v>76</v>
      </c>
      <c r="G979" s="1" t="s">
        <v>32</v>
      </c>
      <c r="H979" s="2">
        <v>45359</v>
      </c>
      <c r="I979" s="1" t="s">
        <v>822</v>
      </c>
      <c r="J979" s="1" t="s">
        <v>823</v>
      </c>
      <c r="K979" s="1" t="s">
        <v>560</v>
      </c>
      <c r="L979" s="1">
        <v>45275.73</v>
      </c>
      <c r="M979" s="1">
        <v>1</v>
      </c>
      <c r="N979" s="1">
        <v>0.2</v>
      </c>
      <c r="O979" s="1">
        <v>36220.58</v>
      </c>
      <c r="P979" s="1">
        <v>4288.05</v>
      </c>
    </row>
    <row r="980" spans="1:16" x14ac:dyDescent="0.3">
      <c r="A980" s="1" t="s">
        <v>1159</v>
      </c>
      <c r="B980" s="2">
        <v>45567</v>
      </c>
      <c r="C980" s="2" t="str">
        <f>TEXT(E_Commerce_data[[#This Row],[order_date]],"MMM")</f>
        <v>Oct</v>
      </c>
      <c r="D980" s="1" t="s">
        <v>45</v>
      </c>
      <c r="E980" s="1" t="s">
        <v>46</v>
      </c>
      <c r="F980" s="1" t="s">
        <v>47</v>
      </c>
      <c r="G980" s="1" t="s">
        <v>48</v>
      </c>
      <c r="H980" s="2">
        <v>45290</v>
      </c>
      <c r="I980" s="1" t="s">
        <v>1102</v>
      </c>
      <c r="J980" s="1" t="s">
        <v>1103</v>
      </c>
      <c r="K980" s="1" t="s">
        <v>902</v>
      </c>
      <c r="L980" s="1">
        <v>33465.440000000002</v>
      </c>
      <c r="M980" s="1">
        <v>4</v>
      </c>
      <c r="N980" s="1">
        <v>0.2</v>
      </c>
      <c r="O980" s="1">
        <v>107089.41</v>
      </c>
      <c r="P980" s="1">
        <v>31885.55</v>
      </c>
    </row>
    <row r="981" spans="1:16" x14ac:dyDescent="0.3">
      <c r="A981" s="1" t="s">
        <v>418</v>
      </c>
      <c r="B981" s="2">
        <v>45484</v>
      </c>
      <c r="C981" s="2" t="str">
        <f>TEXT(E_Commerce_data[[#This Row],[order_date]],"MMM")</f>
        <v>Jul</v>
      </c>
      <c r="D981" s="1" t="s">
        <v>63</v>
      </c>
      <c r="E981" s="1" t="s">
        <v>64</v>
      </c>
      <c r="F981" s="1" t="s">
        <v>18</v>
      </c>
      <c r="G981" s="1" t="s">
        <v>19</v>
      </c>
      <c r="H981" s="2">
        <v>45501</v>
      </c>
      <c r="I981" s="1" t="s">
        <v>315</v>
      </c>
      <c r="J981" s="1" t="s">
        <v>316</v>
      </c>
      <c r="K981" s="1" t="s">
        <v>22</v>
      </c>
      <c r="L981" s="1">
        <v>16937.37</v>
      </c>
      <c r="M981" s="1">
        <v>4</v>
      </c>
      <c r="N981" s="1">
        <v>0.1</v>
      </c>
      <c r="O981" s="1">
        <v>60974.53</v>
      </c>
      <c r="P981" s="1">
        <v>14857.45</v>
      </c>
    </row>
    <row r="982" spans="1:16" x14ac:dyDescent="0.3">
      <c r="A982" s="1" t="s">
        <v>485</v>
      </c>
      <c r="B982" s="2">
        <v>45708</v>
      </c>
      <c r="C982" s="2" t="str">
        <f>TEXT(E_Commerce_data[[#This Row],[order_date]],"MMM")</f>
        <v>Feb</v>
      </c>
      <c r="D982" s="1" t="s">
        <v>96</v>
      </c>
      <c r="E982" s="1" t="s">
        <v>97</v>
      </c>
      <c r="F982" s="1" t="s">
        <v>18</v>
      </c>
      <c r="G982" s="1" t="s">
        <v>19</v>
      </c>
      <c r="H982" s="2">
        <v>45094</v>
      </c>
      <c r="I982" s="1" t="s">
        <v>420</v>
      </c>
      <c r="J982" s="1" t="s">
        <v>421</v>
      </c>
      <c r="K982" s="1" t="s">
        <v>22</v>
      </c>
      <c r="L982" s="1">
        <v>29436.02</v>
      </c>
      <c r="M982" s="1">
        <v>4</v>
      </c>
      <c r="N982" s="1">
        <v>0</v>
      </c>
      <c r="O982" s="1">
        <v>117744.08</v>
      </c>
      <c r="P982" s="1">
        <v>38152.6</v>
      </c>
    </row>
    <row r="983" spans="1:16" x14ac:dyDescent="0.3">
      <c r="A983" s="1" t="s">
        <v>486</v>
      </c>
      <c r="B983" s="2">
        <v>45674</v>
      </c>
      <c r="C983" s="2" t="str">
        <f>TEXT(E_Commerce_data[[#This Row],[order_date]],"MMM")</f>
        <v>Jan</v>
      </c>
      <c r="D983" s="1" t="s">
        <v>387</v>
      </c>
      <c r="E983" s="1" t="s">
        <v>388</v>
      </c>
      <c r="F983" s="1" t="s">
        <v>26</v>
      </c>
      <c r="G983" s="1" t="s">
        <v>27</v>
      </c>
      <c r="H983" s="2">
        <v>45335</v>
      </c>
      <c r="I983" s="1" t="s">
        <v>420</v>
      </c>
      <c r="J983" s="1" t="s">
        <v>421</v>
      </c>
      <c r="K983" s="1" t="s">
        <v>22</v>
      </c>
      <c r="L983" s="1">
        <v>29436.02</v>
      </c>
      <c r="M983" s="1">
        <v>4</v>
      </c>
      <c r="N983" s="1">
        <v>0.2</v>
      </c>
      <c r="O983" s="1">
        <v>94195.26</v>
      </c>
      <c r="P983" s="1">
        <v>19305.36</v>
      </c>
    </row>
    <row r="984" spans="1:16" x14ac:dyDescent="0.3">
      <c r="A984" s="1" t="s">
        <v>487</v>
      </c>
      <c r="B984" s="2">
        <v>45359</v>
      </c>
      <c r="C984" s="2" t="str">
        <f>TEXT(E_Commerce_data[[#This Row],[order_date]],"MMM")</f>
        <v>Mar</v>
      </c>
      <c r="D984" s="1" t="s">
        <v>102</v>
      </c>
      <c r="E984" s="1" t="s">
        <v>103</v>
      </c>
      <c r="F984" s="1" t="s">
        <v>93</v>
      </c>
      <c r="G984" s="1" t="s">
        <v>27</v>
      </c>
      <c r="H984" s="2">
        <v>45548</v>
      </c>
      <c r="I984" s="1" t="s">
        <v>420</v>
      </c>
      <c r="J984" s="1" t="s">
        <v>421</v>
      </c>
      <c r="K984" s="1" t="s">
        <v>22</v>
      </c>
      <c r="L984" s="1">
        <v>29436.02</v>
      </c>
      <c r="M984" s="1">
        <v>1</v>
      </c>
      <c r="N984" s="1">
        <v>0.1</v>
      </c>
      <c r="O984" s="1">
        <v>26492.42</v>
      </c>
      <c r="P984" s="1">
        <v>7615.17</v>
      </c>
    </row>
    <row r="985" spans="1:16" x14ac:dyDescent="0.3">
      <c r="A985" s="1" t="s">
        <v>1099</v>
      </c>
      <c r="B985" s="2">
        <v>45430</v>
      </c>
      <c r="C985" s="2" t="str">
        <f>TEXT(E_Commerce_data[[#This Row],[order_date]],"MMM")</f>
        <v>May</v>
      </c>
      <c r="D985" s="1" t="s">
        <v>147</v>
      </c>
      <c r="E985" s="1" t="s">
        <v>148</v>
      </c>
      <c r="F985" s="1" t="s">
        <v>36</v>
      </c>
      <c r="G985" s="1" t="s">
        <v>32</v>
      </c>
      <c r="H985" s="2">
        <v>45090</v>
      </c>
      <c r="I985" s="1" t="s">
        <v>1034</v>
      </c>
      <c r="J985" s="1" t="s">
        <v>1035</v>
      </c>
      <c r="K985" s="1" t="s">
        <v>902</v>
      </c>
      <c r="L985" s="1">
        <v>11938.33</v>
      </c>
      <c r="M985" s="1">
        <v>3</v>
      </c>
      <c r="N985" s="1">
        <v>0.15</v>
      </c>
      <c r="O985" s="1">
        <v>30442.74</v>
      </c>
      <c r="P985" s="1">
        <v>6150.61</v>
      </c>
    </row>
    <row r="986" spans="1:16" x14ac:dyDescent="0.3">
      <c r="A986" s="1" t="s">
        <v>1259</v>
      </c>
      <c r="B986" s="2">
        <v>45489</v>
      </c>
      <c r="C986" s="2" t="str">
        <f>TEXT(E_Commerce_data[[#This Row],[order_date]],"MMM")</f>
        <v>Jul</v>
      </c>
      <c r="D986" s="1" t="s">
        <v>50</v>
      </c>
      <c r="E986" s="1" t="s">
        <v>51</v>
      </c>
      <c r="F986" s="1" t="s">
        <v>47</v>
      </c>
      <c r="G986" s="1" t="s">
        <v>48</v>
      </c>
      <c r="H986" s="2">
        <v>45041</v>
      </c>
      <c r="I986" s="1" t="s">
        <v>1162</v>
      </c>
      <c r="J986" s="1" t="s">
        <v>1163</v>
      </c>
      <c r="K986" s="1" t="s">
        <v>902</v>
      </c>
      <c r="L986" s="1">
        <v>10751.13</v>
      </c>
      <c r="M986" s="1">
        <v>5</v>
      </c>
      <c r="N986" s="1">
        <v>0.1</v>
      </c>
      <c r="O986" s="1">
        <v>48380.08</v>
      </c>
      <c r="P986" s="1">
        <v>2839.16</v>
      </c>
    </row>
    <row r="987" spans="1:16" x14ac:dyDescent="0.3">
      <c r="A987" s="1" t="s">
        <v>897</v>
      </c>
      <c r="B987" s="2">
        <v>45325</v>
      </c>
      <c r="C987" s="2" t="str">
        <f>TEXT(E_Commerce_data[[#This Row],[order_date]],"MMM")</f>
        <v>Feb</v>
      </c>
      <c r="D987" s="1" t="s">
        <v>179</v>
      </c>
      <c r="E987" s="1" t="s">
        <v>180</v>
      </c>
      <c r="F987" s="1" t="s">
        <v>47</v>
      </c>
      <c r="G987" s="1" t="s">
        <v>48</v>
      </c>
      <c r="H987" s="2">
        <v>45337</v>
      </c>
      <c r="I987" s="1" t="s">
        <v>822</v>
      </c>
      <c r="J987" s="1" t="s">
        <v>823</v>
      </c>
      <c r="K987" s="1" t="s">
        <v>560</v>
      </c>
      <c r="L987" s="1">
        <v>45275.73</v>
      </c>
      <c r="M987" s="1">
        <v>2</v>
      </c>
      <c r="N987" s="1">
        <v>0.2</v>
      </c>
      <c r="O987" s="1">
        <v>72441.17</v>
      </c>
      <c r="P987" s="1">
        <v>4874.4399999999996</v>
      </c>
    </row>
    <row r="988" spans="1:16" x14ac:dyDescent="0.3">
      <c r="A988" s="1" t="s">
        <v>819</v>
      </c>
      <c r="B988" s="2">
        <v>46013</v>
      </c>
      <c r="C988" s="2" t="str">
        <f>TEXT(E_Commerce_data[[#This Row],[order_date]],"MMM")</f>
        <v>Dec</v>
      </c>
      <c r="D988" s="1" t="s">
        <v>371</v>
      </c>
      <c r="E988" s="1" t="s">
        <v>372</v>
      </c>
      <c r="F988" s="1" t="s">
        <v>31</v>
      </c>
      <c r="G988" s="1" t="s">
        <v>32</v>
      </c>
      <c r="H988" s="2">
        <v>45007</v>
      </c>
      <c r="I988" s="1" t="s">
        <v>763</v>
      </c>
      <c r="J988" s="1" t="s">
        <v>764</v>
      </c>
      <c r="K988" s="1" t="s">
        <v>560</v>
      </c>
      <c r="L988" s="1">
        <v>11485.64</v>
      </c>
      <c r="M988" s="1">
        <v>4</v>
      </c>
      <c r="N988" s="1">
        <v>0</v>
      </c>
      <c r="O988" s="1">
        <v>45942.559999999998</v>
      </c>
      <c r="P988" s="1">
        <v>14950.14</v>
      </c>
    </row>
    <row r="989" spans="1:16" x14ac:dyDescent="0.3">
      <c r="A989" s="1" t="s">
        <v>1260</v>
      </c>
      <c r="B989" s="2">
        <v>45767</v>
      </c>
      <c r="C989" s="2" t="str">
        <f>TEXT(E_Commerce_data[[#This Row],[order_date]],"MMM")</f>
        <v>Apr</v>
      </c>
      <c r="D989" s="1" t="s">
        <v>318</v>
      </c>
      <c r="E989" s="1" t="s">
        <v>319</v>
      </c>
      <c r="F989" s="1" t="s">
        <v>93</v>
      </c>
      <c r="G989" s="1" t="s">
        <v>27</v>
      </c>
      <c r="H989" s="2">
        <v>45054</v>
      </c>
      <c r="I989" s="1" t="s">
        <v>1162</v>
      </c>
      <c r="J989" s="1" t="s">
        <v>1163</v>
      </c>
      <c r="K989" s="1" t="s">
        <v>902</v>
      </c>
      <c r="L989" s="1">
        <v>10751.13</v>
      </c>
      <c r="M989" s="1">
        <v>2</v>
      </c>
      <c r="N989" s="1">
        <v>0</v>
      </c>
      <c r="O989" s="1">
        <v>21502.26</v>
      </c>
      <c r="P989" s="1">
        <v>3451.23</v>
      </c>
    </row>
    <row r="990" spans="1:16" x14ac:dyDescent="0.3">
      <c r="A990" s="1" t="s">
        <v>1032</v>
      </c>
      <c r="B990" s="2">
        <v>45418</v>
      </c>
      <c r="C990" s="2" t="str">
        <f>TEXT(E_Commerce_data[[#This Row],[order_date]],"MMM")</f>
        <v>May</v>
      </c>
      <c r="D990" s="1" t="s">
        <v>218</v>
      </c>
      <c r="E990" s="1" t="s">
        <v>219</v>
      </c>
      <c r="F990" s="1" t="s">
        <v>47</v>
      </c>
      <c r="G990" s="1" t="s">
        <v>48</v>
      </c>
      <c r="H990" s="2">
        <v>45241</v>
      </c>
      <c r="I990" s="1" t="s">
        <v>964</v>
      </c>
      <c r="J990" s="1" t="s">
        <v>965</v>
      </c>
      <c r="K990" s="1" t="s">
        <v>902</v>
      </c>
      <c r="L990" s="1">
        <v>3589.32</v>
      </c>
      <c r="M990" s="1">
        <v>5</v>
      </c>
      <c r="N990" s="1">
        <v>0.05</v>
      </c>
      <c r="O990" s="1">
        <v>17049.27</v>
      </c>
      <c r="P990" s="1">
        <v>4102.45</v>
      </c>
    </row>
    <row r="991" spans="1:16" x14ac:dyDescent="0.3">
      <c r="A991" s="1" t="s">
        <v>760</v>
      </c>
      <c r="B991" s="2">
        <v>45900</v>
      </c>
      <c r="C991" s="2" t="str">
        <f>TEXT(E_Commerce_data[[#This Row],[order_date]],"MMM")</f>
        <v>Aug</v>
      </c>
      <c r="D991" s="1" t="s">
        <v>248</v>
      </c>
      <c r="E991" s="1" t="s">
        <v>249</v>
      </c>
      <c r="F991" s="1" t="s">
        <v>72</v>
      </c>
      <c r="G991" s="1" t="s">
        <v>48</v>
      </c>
      <c r="H991" s="2">
        <v>45619</v>
      </c>
      <c r="I991" s="1" t="s">
        <v>706</v>
      </c>
      <c r="J991" s="1" t="s">
        <v>707</v>
      </c>
      <c r="K991" s="1" t="s">
        <v>560</v>
      </c>
      <c r="L991" s="1">
        <v>31573.59</v>
      </c>
      <c r="M991" s="1">
        <v>1</v>
      </c>
      <c r="N991" s="1">
        <v>0</v>
      </c>
      <c r="O991" s="1">
        <v>31573.59</v>
      </c>
      <c r="P991" s="1">
        <v>5106.71</v>
      </c>
    </row>
    <row r="992" spans="1:16" x14ac:dyDescent="0.3">
      <c r="A992" s="1" t="s">
        <v>761</v>
      </c>
      <c r="B992" s="2">
        <v>45777</v>
      </c>
      <c r="C992" s="2" t="str">
        <f>TEXT(E_Commerce_data[[#This Row],[order_date]],"MMM")</f>
        <v>Apr</v>
      </c>
      <c r="D992" s="1" t="s">
        <v>259</v>
      </c>
      <c r="E992" s="1" t="s">
        <v>260</v>
      </c>
      <c r="F992" s="1" t="s">
        <v>18</v>
      </c>
      <c r="G992" s="1" t="s">
        <v>19</v>
      </c>
      <c r="H992" s="2">
        <v>45444</v>
      </c>
      <c r="I992" s="1" t="s">
        <v>706</v>
      </c>
      <c r="J992" s="1" t="s">
        <v>707</v>
      </c>
      <c r="K992" s="1" t="s">
        <v>560</v>
      </c>
      <c r="L992" s="1">
        <v>31573.59</v>
      </c>
      <c r="M992" s="1">
        <v>4</v>
      </c>
      <c r="N992" s="1">
        <v>0</v>
      </c>
      <c r="O992" s="1">
        <v>126294.36</v>
      </c>
      <c r="P992" s="1">
        <v>42707.21</v>
      </c>
    </row>
    <row r="993" spans="1:16" x14ac:dyDescent="0.3">
      <c r="A993" s="1" t="s">
        <v>631</v>
      </c>
      <c r="B993" s="2">
        <v>45459</v>
      </c>
      <c r="C993" s="2" t="str">
        <f>TEXT(E_Commerce_data[[#This Row],[order_date]],"MMM")</f>
        <v>Jun</v>
      </c>
      <c r="D993" s="1" t="s">
        <v>344</v>
      </c>
      <c r="E993" s="1" t="s">
        <v>345</v>
      </c>
      <c r="F993" s="1" t="s">
        <v>93</v>
      </c>
      <c r="G993" s="1" t="s">
        <v>27</v>
      </c>
      <c r="H993" s="2">
        <v>45356</v>
      </c>
      <c r="I993" s="1" t="s">
        <v>558</v>
      </c>
      <c r="J993" s="1" t="s">
        <v>559</v>
      </c>
      <c r="K993" s="1" t="s">
        <v>560</v>
      </c>
      <c r="L993" s="1">
        <v>11049.86</v>
      </c>
      <c r="M993" s="1">
        <v>5</v>
      </c>
      <c r="N993" s="1">
        <v>0.1</v>
      </c>
      <c r="O993" s="1">
        <v>49724.37</v>
      </c>
      <c r="P993" s="1">
        <v>7703.7</v>
      </c>
    </row>
    <row r="994" spans="1:16" x14ac:dyDescent="0.3">
      <c r="A994" s="1" t="s">
        <v>1261</v>
      </c>
      <c r="B994" s="2">
        <v>45384</v>
      </c>
      <c r="C994" s="2" t="str">
        <f>TEXT(E_Commerce_data[[#This Row],[order_date]],"MMM")</f>
        <v>Apr</v>
      </c>
      <c r="D994" s="1" t="s">
        <v>129</v>
      </c>
      <c r="E994" s="1" t="s">
        <v>130</v>
      </c>
      <c r="F994" s="1" t="s">
        <v>72</v>
      </c>
      <c r="G994" s="1" t="s">
        <v>48</v>
      </c>
      <c r="H994" s="2">
        <v>45021</v>
      </c>
      <c r="I994" s="1" t="s">
        <v>1162</v>
      </c>
      <c r="J994" s="1" t="s">
        <v>1163</v>
      </c>
      <c r="K994" s="1" t="s">
        <v>902</v>
      </c>
      <c r="L994" s="1">
        <v>10751.13</v>
      </c>
      <c r="M994" s="1">
        <v>3</v>
      </c>
      <c r="N994" s="1">
        <v>0.15</v>
      </c>
      <c r="O994" s="1">
        <v>27415.38</v>
      </c>
      <c r="P994" s="1">
        <v>8204.36</v>
      </c>
    </row>
    <row r="995" spans="1:16" x14ac:dyDescent="0.3">
      <c r="A995" s="1" t="s">
        <v>211</v>
      </c>
      <c r="B995" s="2">
        <v>45458</v>
      </c>
      <c r="C995" s="2" t="str">
        <f>TEXT(E_Commerce_data[[#This Row],[order_date]],"MMM")</f>
        <v>Jun</v>
      </c>
      <c r="D995" s="1" t="s">
        <v>212</v>
      </c>
      <c r="E995" s="1" t="s">
        <v>213</v>
      </c>
      <c r="F995" s="1" t="s">
        <v>18</v>
      </c>
      <c r="G995" s="1" t="s">
        <v>19</v>
      </c>
      <c r="H995" s="2">
        <v>45613</v>
      </c>
      <c r="I995" s="1" t="s">
        <v>20</v>
      </c>
      <c r="J995" s="1" t="s">
        <v>21</v>
      </c>
      <c r="K995" s="1" t="s">
        <v>22</v>
      </c>
      <c r="L995" s="1">
        <v>6094.16</v>
      </c>
      <c r="M995" s="1">
        <v>3</v>
      </c>
      <c r="N995" s="1">
        <v>0</v>
      </c>
      <c r="O995" s="1">
        <v>18282.48</v>
      </c>
      <c r="P995" s="1">
        <v>3034.34</v>
      </c>
    </row>
    <row r="996" spans="1:16" x14ac:dyDescent="0.3">
      <c r="A996" s="1" t="s">
        <v>898</v>
      </c>
      <c r="B996" s="2">
        <v>45518</v>
      </c>
      <c r="C996" s="2" t="str">
        <f>TEXT(E_Commerce_data[[#This Row],[order_date]],"MMM")</f>
        <v>Aug</v>
      </c>
      <c r="D996" s="1" t="s">
        <v>112</v>
      </c>
      <c r="E996" s="1" t="s">
        <v>113</v>
      </c>
      <c r="F996" s="1" t="s">
        <v>55</v>
      </c>
      <c r="G996" s="1" t="s">
        <v>27</v>
      </c>
      <c r="H996" s="2">
        <v>45602</v>
      </c>
      <c r="I996" s="1" t="s">
        <v>822</v>
      </c>
      <c r="J996" s="1" t="s">
        <v>823</v>
      </c>
      <c r="K996" s="1" t="s">
        <v>560</v>
      </c>
      <c r="L996" s="1">
        <v>45275.73</v>
      </c>
      <c r="M996" s="1">
        <v>5</v>
      </c>
      <c r="N996" s="1">
        <v>0.2</v>
      </c>
      <c r="O996" s="1">
        <v>181102.92</v>
      </c>
      <c r="P996" s="1">
        <v>61479.96</v>
      </c>
    </row>
    <row r="997" spans="1:16" x14ac:dyDescent="0.3">
      <c r="A997" s="1" t="s">
        <v>703</v>
      </c>
      <c r="B997" s="2">
        <v>45959</v>
      </c>
      <c r="C997" s="2" t="str">
        <f>TEXT(E_Commerce_data[[#This Row],[order_date]],"MMM")</f>
        <v>Oct</v>
      </c>
      <c r="D997" s="1" t="s">
        <v>66</v>
      </c>
      <c r="E997" s="1" t="s">
        <v>67</v>
      </c>
      <c r="F997" s="1" t="s">
        <v>18</v>
      </c>
      <c r="G997" s="1" t="s">
        <v>19</v>
      </c>
      <c r="H997" s="2">
        <v>45657</v>
      </c>
      <c r="I997" s="1" t="s">
        <v>633</v>
      </c>
      <c r="J997" s="1" t="s">
        <v>634</v>
      </c>
      <c r="K997" s="1" t="s">
        <v>560</v>
      </c>
      <c r="L997" s="1">
        <v>3596.1</v>
      </c>
      <c r="M997" s="1">
        <v>2</v>
      </c>
      <c r="N997" s="1">
        <v>0.15</v>
      </c>
      <c r="O997" s="1">
        <v>6113.37</v>
      </c>
      <c r="P997" s="1">
        <v>684.82</v>
      </c>
    </row>
    <row r="998" spans="1:16" x14ac:dyDescent="0.3">
      <c r="A998" s="1" t="s">
        <v>1100</v>
      </c>
      <c r="B998" s="2">
        <v>45990</v>
      </c>
      <c r="C998" s="2" t="str">
        <f>TEXT(E_Commerce_data[[#This Row],[order_date]],"MMM")</f>
        <v>Nov</v>
      </c>
      <c r="D998" s="1" t="s">
        <v>135</v>
      </c>
      <c r="E998" s="1" t="s">
        <v>136</v>
      </c>
      <c r="F998" s="1" t="s">
        <v>31</v>
      </c>
      <c r="G998" s="1" t="s">
        <v>32</v>
      </c>
      <c r="H998" s="2">
        <v>45537</v>
      </c>
      <c r="I998" s="1" t="s">
        <v>1034</v>
      </c>
      <c r="J998" s="1" t="s">
        <v>1035</v>
      </c>
      <c r="K998" s="1" t="s">
        <v>902</v>
      </c>
      <c r="L998" s="1">
        <v>11938.33</v>
      </c>
      <c r="M998" s="1">
        <v>4</v>
      </c>
      <c r="N998" s="1">
        <v>0.1</v>
      </c>
      <c r="O998" s="1">
        <v>42977.99</v>
      </c>
      <c r="P998" s="1">
        <v>2407.44</v>
      </c>
    </row>
    <row r="999" spans="1:16" x14ac:dyDescent="0.3">
      <c r="A999" s="1" t="s">
        <v>820</v>
      </c>
      <c r="B999" s="2">
        <v>45954</v>
      </c>
      <c r="C999" s="2" t="str">
        <f>TEXT(E_Commerce_data[[#This Row],[order_date]],"MMM")</f>
        <v>Oct</v>
      </c>
      <c r="D999" s="1" t="s">
        <v>243</v>
      </c>
      <c r="E999" s="1" t="s">
        <v>244</v>
      </c>
      <c r="F999" s="1" t="s">
        <v>18</v>
      </c>
      <c r="G999" s="1" t="s">
        <v>19</v>
      </c>
      <c r="H999" s="2">
        <v>45223</v>
      </c>
      <c r="I999" s="1" t="s">
        <v>763</v>
      </c>
      <c r="J999" s="1" t="s">
        <v>764</v>
      </c>
      <c r="K999" s="1" t="s">
        <v>560</v>
      </c>
      <c r="L999" s="1">
        <v>11485.64</v>
      </c>
      <c r="M999" s="1">
        <v>1</v>
      </c>
      <c r="N999" s="1">
        <v>0.05</v>
      </c>
      <c r="O999" s="1">
        <v>10911.36</v>
      </c>
      <c r="P999" s="1">
        <v>3529.33</v>
      </c>
    </row>
    <row r="1000" spans="1:16" x14ac:dyDescent="0.3">
      <c r="A1000" s="1" t="s">
        <v>704</v>
      </c>
      <c r="B1000" s="2">
        <v>45521</v>
      </c>
      <c r="C1000" s="2" t="str">
        <f>TEXT(E_Commerce_data[[#This Row],[order_date]],"MMM")</f>
        <v>Aug</v>
      </c>
      <c r="D1000" s="1" t="s">
        <v>573</v>
      </c>
      <c r="E1000" s="1" t="s">
        <v>574</v>
      </c>
      <c r="F1000" s="1" t="s">
        <v>36</v>
      </c>
      <c r="G1000" s="1" t="s">
        <v>32</v>
      </c>
      <c r="H1000" s="2">
        <v>45540</v>
      </c>
      <c r="I1000" s="1" t="s">
        <v>633</v>
      </c>
      <c r="J1000" s="1" t="s">
        <v>634</v>
      </c>
      <c r="K1000" s="1" t="s">
        <v>560</v>
      </c>
      <c r="L1000" s="1">
        <v>3596.1</v>
      </c>
      <c r="M1000" s="1">
        <v>2</v>
      </c>
      <c r="N1000" s="1">
        <v>0.1</v>
      </c>
      <c r="O1000" s="1">
        <v>6472.98</v>
      </c>
      <c r="P1000" s="1">
        <v>1878.84</v>
      </c>
    </row>
    <row r="1001" spans="1:16" x14ac:dyDescent="0.3">
      <c r="A1001" s="1" t="s">
        <v>1160</v>
      </c>
      <c r="B1001" s="2">
        <v>45604</v>
      </c>
      <c r="C1001" s="2" t="str">
        <f>TEXT(E_Commerce_data[[#This Row],[order_date]],"MMM")</f>
        <v>Nov</v>
      </c>
      <c r="D1001" s="1" t="s">
        <v>147</v>
      </c>
      <c r="E1001" s="1" t="s">
        <v>148</v>
      </c>
      <c r="F1001" s="1" t="s">
        <v>36</v>
      </c>
      <c r="G1001" s="1" t="s">
        <v>32</v>
      </c>
      <c r="H1001" s="2">
        <v>45090</v>
      </c>
      <c r="I1001" s="1" t="s">
        <v>1102</v>
      </c>
      <c r="J1001" s="1" t="s">
        <v>1103</v>
      </c>
      <c r="K1001" s="1" t="s">
        <v>902</v>
      </c>
      <c r="L1001" s="1">
        <v>33465.440000000002</v>
      </c>
      <c r="M1001" s="1">
        <v>3</v>
      </c>
      <c r="N1001" s="1">
        <v>0.1</v>
      </c>
      <c r="O1001" s="1">
        <v>90356.69</v>
      </c>
      <c r="P1001" s="1">
        <v>26341.29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EAC5D3-5B4C-445D-9ADA-68E117DDD5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KPI'S</vt:lpstr>
      <vt:lpstr>Charts</vt:lpstr>
      <vt:lpstr>E-Commerce_data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 Marwah</dc:creator>
  <cp:lastModifiedBy>Arpit Marwah</cp:lastModifiedBy>
  <dcterms:created xsi:type="dcterms:W3CDTF">2026-05-11T07:28:03Z</dcterms:created>
  <dcterms:modified xsi:type="dcterms:W3CDTF">2026-05-17T18:08:50Z</dcterms:modified>
</cp:coreProperties>
</file>